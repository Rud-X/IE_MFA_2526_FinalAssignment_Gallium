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uma Watari\Dropbox\Journal paper\RCR review\1st round revision\"/>
    </mc:Choice>
  </mc:AlternateContent>
  <xr:revisionPtr revIDLastSave="0" documentId="13_ncr:1_{3DDBFBCB-C252-4373-A15A-98877504B597}" xr6:coauthVersionLast="41" xr6:coauthVersionMax="41" xr10:uidLastSave="{00000000-0000-0000-0000-000000000000}"/>
  <bookViews>
    <workbookView xWindow="51480" yWindow="-120" windowWidth="29040" windowHeight="15840" xr2:uid="{F9EB046F-57AB-4ADF-AFA2-5F8DF33D7998}"/>
  </bookViews>
  <sheets>
    <sheet name="Reference" sheetId="1" r:id="rId1"/>
    <sheet name="Overview" sheetId="2" r:id="rId2"/>
    <sheet name="Life cycle&amp;efficiency strategy" sheetId="3" r:id="rId3"/>
    <sheet name="Predicted demand summary" sheetId="26" r:id="rId4"/>
    <sheet name="In" sheetId="5" r:id="rId5"/>
    <sheet name="Ag" sheetId="4" r:id="rId6"/>
    <sheet name="Pt" sheetId="13" r:id="rId7"/>
    <sheet name="Se" sheetId="6" r:id="rId8"/>
    <sheet name="Pb" sheetId="20" r:id="rId9"/>
    <sheet name="Cd" sheetId="8" r:id="rId10"/>
    <sheet name="Cr" sheetId="16" r:id="rId11"/>
    <sheet name="Te" sheetId="9" r:id="rId12"/>
    <sheet name="Sn" sheetId="22" r:id="rId13"/>
    <sheet name="Zn" sheetId="24" r:id="rId14"/>
    <sheet name="Mo" sheetId="19" r:id="rId15"/>
    <sheet name="Dy" sheetId="15" r:id="rId16"/>
    <sheet name="Mn" sheetId="18" r:id="rId17"/>
    <sheet name="Nd" sheetId="14" r:id="rId18"/>
    <sheet name="Co" sheetId="10" r:id="rId19"/>
    <sheet name="Ge" sheetId="17" r:id="rId20"/>
    <sheet name="Ga" sheetId="7" r:id="rId21"/>
    <sheet name="Cu" sheetId="25" r:id="rId22"/>
    <sheet name="Ta" sheetId="23" r:id="rId23"/>
    <sheet name="Ni" sheetId="12" r:id="rId24"/>
    <sheet name="Li" sheetId="11" r:id="rId25"/>
    <sheet name="Si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1" l="1"/>
  <c r="C6" i="21"/>
  <c r="C10" i="21"/>
  <c r="C39" i="11"/>
  <c r="C38" i="11"/>
  <c r="C29" i="11"/>
  <c r="C26" i="11"/>
  <c r="C25" i="11"/>
  <c r="C8" i="11"/>
  <c r="C40" i="11"/>
  <c r="C32" i="11"/>
  <c r="C34" i="11"/>
  <c r="C36" i="11"/>
  <c r="C30" i="11"/>
  <c r="C27" i="11"/>
  <c r="C13" i="11"/>
  <c r="C15" i="11"/>
  <c r="C17" i="11"/>
  <c r="C19" i="11"/>
  <c r="C21" i="11"/>
  <c r="C23" i="11"/>
  <c r="C11" i="11"/>
  <c r="C9" i="11"/>
  <c r="C6" i="11"/>
  <c r="C14" i="12"/>
  <c r="C11" i="12"/>
  <c r="C9" i="12"/>
  <c r="C6" i="12"/>
  <c r="C13" i="12"/>
  <c r="C8" i="12"/>
  <c r="C9" i="23"/>
  <c r="C6" i="23"/>
  <c r="C10" i="23"/>
  <c r="C7" i="23"/>
  <c r="C8" i="25"/>
  <c r="C10" i="25"/>
  <c r="C12" i="25"/>
  <c r="C14" i="25"/>
  <c r="C16" i="25"/>
  <c r="C18" i="25"/>
  <c r="C20" i="25"/>
  <c r="C6" i="25"/>
  <c r="C20" i="7"/>
  <c r="C15" i="7"/>
  <c r="C14" i="7"/>
  <c r="C18" i="7"/>
  <c r="C16" i="7"/>
  <c r="C12" i="7"/>
  <c r="C10" i="7"/>
  <c r="C8" i="7"/>
  <c r="C6" i="7"/>
  <c r="C6" i="17"/>
  <c r="C8" i="17"/>
  <c r="C19" i="10"/>
  <c r="C8" i="10"/>
  <c r="C22" i="10"/>
  <c r="C20" i="10"/>
  <c r="C17" i="10"/>
  <c r="C15" i="10"/>
  <c r="C13" i="10"/>
  <c r="C11" i="10"/>
  <c r="C9" i="10"/>
  <c r="C6" i="10"/>
  <c r="C31" i="14"/>
  <c r="C29" i="14"/>
  <c r="C26" i="14"/>
  <c r="C24" i="14"/>
  <c r="C19" i="14"/>
  <c r="C17" i="14"/>
  <c r="C15" i="14"/>
  <c r="C13" i="14"/>
  <c r="C11" i="14"/>
  <c r="C9" i="14"/>
  <c r="C6" i="14"/>
  <c r="C33" i="14"/>
  <c r="C28" i="14"/>
  <c r="C23" i="14"/>
  <c r="C22" i="14"/>
  <c r="C21" i="14"/>
  <c r="C8" i="14"/>
  <c r="C9" i="18"/>
  <c r="C8" i="18"/>
  <c r="C6" i="18"/>
  <c r="C35" i="15"/>
  <c r="C33" i="15"/>
  <c r="C30" i="15"/>
  <c r="C27" i="15"/>
  <c r="C25" i="15"/>
  <c r="C22" i="15"/>
  <c r="C18" i="15"/>
  <c r="C15" i="15"/>
  <c r="C13" i="15"/>
  <c r="C11" i="15"/>
  <c r="C9" i="15"/>
  <c r="C6" i="15"/>
  <c r="C32" i="15"/>
  <c r="C29" i="15"/>
  <c r="C24" i="15"/>
  <c r="C17" i="15"/>
  <c r="C8" i="15"/>
  <c r="C21" i="15"/>
  <c r="C20" i="15"/>
  <c r="C7" i="19"/>
  <c r="C6" i="19"/>
  <c r="C8" i="24"/>
  <c r="C6" i="24"/>
  <c r="C7" i="22"/>
  <c r="C6" i="22"/>
  <c r="C28" i="9"/>
  <c r="C27" i="9"/>
  <c r="C24" i="9"/>
  <c r="C21" i="9"/>
  <c r="C20" i="9"/>
  <c r="C15" i="9"/>
  <c r="C8" i="9"/>
  <c r="C25" i="9"/>
  <c r="C22" i="9"/>
  <c r="C18" i="9"/>
  <c r="C16" i="9"/>
  <c r="C13" i="9"/>
  <c r="C11" i="9"/>
  <c r="C9" i="9"/>
  <c r="C6" i="9"/>
  <c r="C8" i="16"/>
  <c r="C6" i="16"/>
  <c r="C14" i="8"/>
  <c r="C10" i="8"/>
  <c r="C8" i="8"/>
  <c r="C6" i="8"/>
  <c r="C17" i="8"/>
  <c r="C16" i="8"/>
  <c r="C13" i="8"/>
  <c r="C12" i="8"/>
  <c r="C8" i="20"/>
  <c r="C9" i="20"/>
  <c r="C6" i="20"/>
  <c r="C21" i="6"/>
  <c r="C20" i="6"/>
  <c r="C17" i="6"/>
  <c r="C16" i="6"/>
  <c r="C15" i="6"/>
  <c r="C8" i="6"/>
  <c r="C18" i="6"/>
  <c r="C13" i="6"/>
  <c r="C11" i="6"/>
  <c r="C9" i="6"/>
  <c r="C6" i="6"/>
  <c r="C15" i="13"/>
  <c r="C10" i="13"/>
  <c r="C8" i="13"/>
  <c r="C6" i="13"/>
  <c r="C18" i="13"/>
  <c r="C19" i="13"/>
  <c r="C17" i="13"/>
  <c r="C13" i="13"/>
  <c r="C14" i="13"/>
  <c r="C12" i="13"/>
  <c r="C22" i="4"/>
  <c r="C17" i="4"/>
  <c r="C18" i="4"/>
  <c r="C19" i="4"/>
  <c r="C16" i="4"/>
  <c r="C11" i="4"/>
  <c r="C8" i="4"/>
  <c r="C20" i="4"/>
  <c r="C9" i="4"/>
  <c r="C6" i="4"/>
  <c r="C14" i="4"/>
  <c r="C12" i="4"/>
  <c r="C33" i="5"/>
  <c r="C30" i="5"/>
  <c r="C31" i="5"/>
  <c r="C32" i="5"/>
  <c r="C29" i="5"/>
  <c r="C21" i="5"/>
  <c r="C22" i="5"/>
  <c r="C23" i="5"/>
  <c r="C24" i="5"/>
  <c r="C20" i="5"/>
  <c r="C17" i="5"/>
  <c r="C8" i="5"/>
  <c r="C6" i="5"/>
  <c r="C27" i="5"/>
  <c r="C25" i="5"/>
  <c r="C18" i="5"/>
  <c r="C11" i="5"/>
  <c r="C13" i="5"/>
  <c r="C15" i="5"/>
  <c r="C9" i="5"/>
  <c r="N92" i="3" l="1"/>
  <c r="M92" i="3"/>
  <c r="L92" i="3"/>
  <c r="K92" i="3"/>
  <c r="J92" i="3"/>
  <c r="I92" i="3"/>
  <c r="H92" i="3"/>
  <c r="G92" i="3"/>
  <c r="F92" i="3"/>
  <c r="E92" i="3"/>
  <c r="D92" i="3"/>
  <c r="Q92" i="2"/>
  <c r="P92" i="2"/>
  <c r="O92" i="2"/>
  <c r="N92" i="2"/>
  <c r="M92" i="2"/>
  <c r="L92" i="2"/>
  <c r="K92" i="2"/>
  <c r="J92" i="2"/>
  <c r="I92" i="2"/>
  <c r="H92" i="2"/>
  <c r="G92" i="2"/>
  <c r="F92" i="2"/>
</calcChain>
</file>

<file path=xl/sharedStrings.xml><?xml version="1.0" encoding="utf-8"?>
<sst xmlns="http://schemas.openxmlformats.org/spreadsheetml/2006/main" count="859" uniqueCount="328">
  <si>
    <t>Publication year</t>
    <phoneticPr fontId="3"/>
  </si>
  <si>
    <t>Title</t>
    <phoneticPr fontId="3"/>
  </si>
  <si>
    <t>Energy-material nexus: The impacts of national and international energy scenarios on critical metals use in China up to 2050 and their global implications</t>
    <phoneticPr fontId="3"/>
  </si>
  <si>
    <t>Supply and demand response trends of lithium resources driven by the demand of emerging renewable energy technologies in China</t>
  </si>
  <si>
    <t>Total Material Requirement for the Global Energy Transition to 2050: A focus on transport and electricity</t>
    <phoneticPr fontId="3"/>
  </si>
  <si>
    <t>Raw metal needs and supply risks for the development of wind energy in Germany until 2050</t>
    <phoneticPr fontId="3"/>
  </si>
  <si>
    <t>Critical raw materials and transportation sector electrification: A detailed bottom-up analysis in world transport</t>
    <phoneticPr fontId="3"/>
  </si>
  <si>
    <t>Impact of the establishment of US offshore wind power on neodymium flows</t>
    <phoneticPr fontId="3"/>
  </si>
  <si>
    <t>Scenarios of rare earth elements demand driven by automotive electrification in China: 2018–2030</t>
    <phoneticPr fontId="3"/>
  </si>
  <si>
    <t>Enough Metals? Resource Constraints to Supply a Fully Renewable Energy System</t>
    <phoneticPr fontId="3"/>
  </si>
  <si>
    <t>Mineral raw material requirements and associated climate-change impacts of the French energy transition by 2050</t>
    <phoneticPr fontId="3"/>
  </si>
  <si>
    <t>The Dynamic Equilibrium Mechanism of Regional Lithium Flow for Transportation Electrificatio</t>
    <phoneticPr fontId="3"/>
  </si>
  <si>
    <t>Energy modeling approach to the global energy-mineral nexus: Exploring metal requirements and the well-below 2 °C target with 100 percent renewable energy</t>
    <phoneticPr fontId="3"/>
  </si>
  <si>
    <t>Global material requirements for the energy transition. An exergy flow analysis of decarbonisation pathways</t>
    <phoneticPr fontId="3"/>
  </si>
  <si>
    <t>Material bottlenecks in the future development of green technologies</t>
    <phoneticPr fontId="3"/>
  </si>
  <si>
    <t>Global metal flows in the renewable energy transition: Exploring the effects of substitutes, technological mix and development</t>
    <phoneticPr fontId="3"/>
  </si>
  <si>
    <t>Evaluation of long-term silver supply shortage for c-Si PV under different technological scenarios</t>
    <phoneticPr fontId="3"/>
  </si>
  <si>
    <t>Analysis of Potential for Critical Metal Resource Constraints in the International Energy Agency’s Long-Term Low-Carbon Energy Scenarios</t>
    <phoneticPr fontId="3"/>
  </si>
  <si>
    <t>An assessment of U.S. rare earth availability for supporting U.S. wind energy growth targets</t>
    <phoneticPr fontId="3"/>
  </si>
  <si>
    <t>Scenarios for Demand Growth of Metals in Electricity Generation Technologies, Cars, and Electronic Appliances</t>
    <phoneticPr fontId="3"/>
  </si>
  <si>
    <t>Modeling the potential impact of lithium recycling from EV batteries on lithium demand: A dynamic MFA approach</t>
    <phoneticPr fontId="3"/>
  </si>
  <si>
    <t>Metal supply constraints for a low-carbon economy?</t>
    <phoneticPr fontId="3"/>
  </si>
  <si>
    <t>Implications of Emerging Vehicle Technologies on Rare Earth Supply and Demand in the United States</t>
    <phoneticPr fontId="3"/>
  </si>
  <si>
    <t>Estimating global copper demand until 2100 with regression and stock dynamics</t>
    <phoneticPr fontId="3"/>
  </si>
  <si>
    <t>Resource implications of alternative strategies for achieving zero greenhouse gas emissions from light-duty vehicles by 2060</t>
    <phoneticPr fontId="3"/>
  </si>
  <si>
    <t>Global strategic level supply planning of materials critical to clean energy technologies - A case study on indium</t>
    <phoneticPr fontId="3"/>
  </si>
  <si>
    <t>Global Potential of Rare Earth Resources and Rare Earth Demand from Clean Technologies</t>
    <phoneticPr fontId="3"/>
  </si>
  <si>
    <t>Lithium-Ion Battery Supply Chain Considerations: Analysis of Potential Bottlenecks in Critical Metals</t>
    <phoneticPr fontId="3"/>
  </si>
  <si>
    <t>Energy modeling approach to the global energy-mineral nexus: A first look at metal requirements and the 2 °C target</t>
    <phoneticPr fontId="3"/>
  </si>
  <si>
    <t>Material requirements and availability for multi-terawatt deployment of photovoltaics</t>
    <phoneticPr fontId="3"/>
  </si>
  <si>
    <t>Global trends in metal consumption and supply: The raw material-energy nexus</t>
    <phoneticPr fontId="3"/>
  </si>
  <si>
    <t>Lithium market research – global supply, future demand and price development</t>
    <phoneticPr fontId="3"/>
  </si>
  <si>
    <t>The life cycle impact for platinum group metals and lithium to 2070 via surplus cost potential</t>
    <phoneticPr fontId="3"/>
  </si>
  <si>
    <t>Closing the low-carbon material loop using a dynamic whole system approach</t>
    <phoneticPr fontId="3"/>
  </si>
  <si>
    <t>Role of substitution in mitigating the supply pressure of rare earths in electric road transport applications</t>
    <phoneticPr fontId="3"/>
  </si>
  <si>
    <t>Is there a resource constraint related to lithium ion batteries in cars?</t>
    <phoneticPr fontId="3"/>
  </si>
  <si>
    <t>Modelling global extraction, supply, price and depletion of the extractable geological resources with the LITHIUM model</t>
    <phoneticPr fontId="3"/>
  </si>
  <si>
    <t>Assessing Economic Modulation of Future Critical Materials Use: The Case of Automotive-Related Platinum Group Metals</t>
    <phoneticPr fontId="3"/>
  </si>
  <si>
    <t>Byproduct metal requirements for U.S. wind and solar photovoltaic electricity generation up to the year 2040 under various Clean Power Plan scenarios</t>
    <phoneticPr fontId="3"/>
  </si>
  <si>
    <t>System Dynamics Modeling of Indium Material Flows under Wide Deployment of Clean Energy Technologies</t>
    <phoneticPr fontId="3"/>
  </si>
  <si>
    <r>
      <t>Byproduct Metal Availability Constrained by Dynamics of Carrier Metal Cycle: The Gallium</t>
    </r>
    <r>
      <rPr>
        <sz val="10"/>
        <color theme="1"/>
        <rFont val="ＭＳ Ｐゴシック"/>
        <family val="3"/>
        <charset val="128"/>
      </rPr>
      <t>−</t>
    </r>
    <r>
      <rPr>
        <sz val="10"/>
        <color theme="1"/>
        <rFont val="Arial"/>
        <family val="2"/>
      </rPr>
      <t>Aluminum Example</t>
    </r>
  </si>
  <si>
    <t>Estimates of global REE recycling potentials from NdFeB magnet material</t>
    <phoneticPr fontId="3"/>
  </si>
  <si>
    <t>Critical Minerals and Energy–Impacts and Limitations of Moving to Unconventional Resources</t>
    <phoneticPr fontId="3"/>
  </si>
  <si>
    <t>Role of critical metals in the future markets of clean energy technologies</t>
    <phoneticPr fontId="3"/>
  </si>
  <si>
    <t>Prospective analysis of the flows of certain rare earths in Europe at the 2020 horizon</t>
    <phoneticPr fontId="3"/>
  </si>
  <si>
    <t>Potential metal requirement of active materials in lithium-ion battery cells of electric vehicles and its impact on reserves: Focus on Europe</t>
    <phoneticPr fontId="3"/>
  </si>
  <si>
    <t>Solar cell metals and their hosts: A tale of oversupply and undersupply</t>
    <phoneticPr fontId="3"/>
  </si>
  <si>
    <t>Metal production requirements for rapid photovoltaics deployment</t>
    <phoneticPr fontId="3"/>
  </si>
  <si>
    <t>Critical and precious materials consumption and requirement in wind energy system in the EU 27</t>
    <phoneticPr fontId="3"/>
  </si>
  <si>
    <t>Assessing the need for critical minerals to shift the German energy system towards a high proportion of renewables</t>
    <phoneticPr fontId="3"/>
  </si>
  <si>
    <t>Dysprosium, the balance problem, and wind power technology</t>
    <phoneticPr fontId="3"/>
  </si>
  <si>
    <t>Growth curves and sustained commissioning modelling of renewable energy: Investigating resource constraints for wind energy</t>
    <phoneticPr fontId="3"/>
  </si>
  <si>
    <t>Linking energy scenarios with metal demand modeling–The case of indium in CIGS solar cells</t>
    <phoneticPr fontId="3"/>
  </si>
  <si>
    <t>A future perspective on lithium-ion battery waste flows from electric vehicles</t>
    <phoneticPr fontId="3"/>
  </si>
  <si>
    <t>Managing critical materials with a technology-specific stocks and flows model</t>
    <phoneticPr fontId="3"/>
  </si>
  <si>
    <t>Challenges in assessment of clean energy supply-chains based on byproduct minerals: A case study of tellurium use in thin film photovoltaics</t>
    <phoneticPr fontId="3"/>
  </si>
  <si>
    <t>Exploring rare earths supply constraints for the emerging clean energy</t>
    <phoneticPr fontId="3"/>
  </si>
  <si>
    <t>The future of lithium availability for electric vehicle batteries</t>
    <phoneticPr fontId="3"/>
  </si>
  <si>
    <t>Assessing the dynamic material criticality of infrastructure transitions: A case of low carbon electricity</t>
    <phoneticPr fontId="3"/>
  </si>
  <si>
    <t>A system dynamics model of tellurium availability for CdTe PV</t>
    <phoneticPr fontId="3"/>
  </si>
  <si>
    <t>Metals for a low-carbon society</t>
    <phoneticPr fontId="3"/>
  </si>
  <si>
    <t>Dynamic analysis of the global metals flows and stocks in electricity generation technologies</t>
    <phoneticPr fontId="3"/>
  </si>
  <si>
    <t>An analysis of future platinum resources, emissions and waste streams using a system dynamic model of its intentional and non-intentional flows and stocks</t>
    <phoneticPr fontId="3"/>
  </si>
  <si>
    <t>Byproduct production of minor metals: Threat or opportunity for the development of clean technologies? The PV sector as an illustration</t>
    <phoneticPr fontId="3"/>
  </si>
  <si>
    <t>Lithium availability in the EU27 for battery-driven vehicles: The impact of recycling and substitution on the confrontation between supply and demand until 2050</t>
    <phoneticPr fontId="3"/>
  </si>
  <si>
    <t>Lithium availability and future production outlooks</t>
    <phoneticPr fontId="3"/>
  </si>
  <si>
    <t>The potential risks from metals bottlenecks to the deployment of Strategic Energy Technologies</t>
    <phoneticPr fontId="3"/>
  </si>
  <si>
    <t>Recycling as a Strategy against Rare Earth Element Criticality: A Systemic Evaluation of the Potential Yield of NdFeB Magnet Recycling</t>
    <phoneticPr fontId="3"/>
  </si>
  <si>
    <t>Can a dysprosium shortage threaten green energy technologies?</t>
    <phoneticPr fontId="3"/>
  </si>
  <si>
    <t>Material Flows Resulting from Large Scale Deployment of Wind Energy in Germany</t>
    <phoneticPr fontId="3"/>
  </si>
  <si>
    <t>Material constraints for indigenous production of CdTe PV: Evidence from a Monte Carlo experiment using India's National Solar Mission Benchmarks</t>
    <phoneticPr fontId="3"/>
  </si>
  <si>
    <t>Lithium Resources and Production: Critical Assessment and Global Projections</t>
    <phoneticPr fontId="3"/>
  </si>
  <si>
    <t>The time dimension and lithium resource constraints for electric vehicles</t>
    <phoneticPr fontId="3"/>
  </si>
  <si>
    <t>Material constraints for concentrating solar thermal power</t>
    <phoneticPr fontId="3"/>
  </si>
  <si>
    <t>Sustainability metrics for extending thin-film photovoltaics to terawatt levels</t>
    <phoneticPr fontId="3"/>
  </si>
  <si>
    <t>A global renewable mix with proven technologies and common materials</t>
    <phoneticPr fontId="3"/>
  </si>
  <si>
    <t>Platinum Availability for Future Automotive Technologies</t>
    <phoneticPr fontId="3"/>
  </si>
  <si>
    <t>Evaluating Rare Earth Element Availability: A Case with Revolutionary Demand from Clean Technologies</t>
    <phoneticPr fontId="3"/>
  </si>
  <si>
    <t>Considerations of resource availability in technology development strategies: The case study of photovoltaics</t>
    <phoneticPr fontId="3"/>
  </si>
  <si>
    <t>The impact of widespread deployment of fuel cell vehicles on platinum demand and price</t>
    <phoneticPr fontId="3"/>
  </si>
  <si>
    <t>Global Lithium Availability A Constraint for Electric Vehicles?</t>
    <phoneticPr fontId="3"/>
  </si>
  <si>
    <t>The Lithium future—resources, recycling, and the environment</t>
    <phoneticPr fontId="3"/>
  </si>
  <si>
    <t>Critical Materials Strategy: 2011</t>
    <phoneticPr fontId="3"/>
  </si>
  <si>
    <t>Metal requirements of low-carbon power generation</t>
    <phoneticPr fontId="3"/>
  </si>
  <si>
    <t>Resource constraints in a hydrogen economy based on renewable energy sources: An exploration</t>
    <phoneticPr fontId="3"/>
  </si>
  <si>
    <t>Using the cumulative availability curve to assess the threat of mineral depletion: The case of lithium</t>
    <phoneticPr fontId="3"/>
  </si>
  <si>
    <t>Sustainability of photovoltaics: The case for thin-film solar cells</t>
    <phoneticPr fontId="3"/>
  </si>
  <si>
    <t>Metal resource constraints for electric-vehicle batteries</t>
    <phoneticPr fontId="3"/>
  </si>
  <si>
    <t>Materials availability for large-scale thin-film photovoltaics</t>
    <phoneticPr fontId="3"/>
  </si>
  <si>
    <t>Material constraints for thin-film solar cells</t>
    <phoneticPr fontId="3"/>
  </si>
  <si>
    <t>Period</t>
    <phoneticPr fontId="3"/>
  </si>
  <si>
    <t>Material efficiency strategies</t>
    <phoneticPr fontId="3"/>
  </si>
  <si>
    <t>Solar PV (c-Si, CIGS, CdTe)</t>
    <phoneticPr fontId="3"/>
  </si>
  <si>
    <t>Wind</t>
    <phoneticPr fontId="3"/>
  </si>
  <si>
    <t>EV</t>
    <phoneticPr fontId="3"/>
  </si>
  <si>
    <t>Fuel cells</t>
    <phoneticPr fontId="3"/>
  </si>
  <si>
    <t>Solar CSP</t>
    <phoneticPr fontId="3"/>
  </si>
  <si>
    <t>Nuclear</t>
    <phoneticPr fontId="3"/>
  </si>
  <si>
    <t>Geothermal</t>
    <phoneticPr fontId="3"/>
  </si>
  <si>
    <t>Biomass</t>
    <phoneticPr fontId="3"/>
  </si>
  <si>
    <t>CCS</t>
    <phoneticPr fontId="3"/>
  </si>
  <si>
    <t>Storage batteries</t>
    <phoneticPr fontId="3"/>
  </si>
  <si>
    <t>Manufacturing</t>
    <phoneticPr fontId="3"/>
  </si>
  <si>
    <t>Trade</t>
    <phoneticPr fontId="3"/>
  </si>
  <si>
    <t>Recycle</t>
    <phoneticPr fontId="3"/>
  </si>
  <si>
    <t>Reduce</t>
    <phoneticPr fontId="3"/>
  </si>
  <si>
    <t>Reuse</t>
    <phoneticPr fontId="3"/>
  </si>
  <si>
    <t>China</t>
    <phoneticPr fontId="3"/>
  </si>
  <si>
    <t>World</t>
    <phoneticPr fontId="3"/>
  </si>
  <si>
    <t>Germany</t>
    <phoneticPr fontId="3"/>
  </si>
  <si>
    <t>US</t>
    <phoneticPr fontId="3"/>
  </si>
  <si>
    <t>France</t>
    <phoneticPr fontId="3"/>
  </si>
  <si>
    <t>UK</t>
    <phoneticPr fontId="3"/>
  </si>
  <si>
    <t>EU</t>
    <phoneticPr fontId="3"/>
  </si>
  <si>
    <t>India</t>
    <phoneticPr fontId="3"/>
  </si>
  <si>
    <t>Considered technologies</t>
    <phoneticPr fontId="3"/>
  </si>
  <si>
    <t>Others</t>
    <phoneticPr fontId="3"/>
  </si>
  <si>
    <t>Reference number</t>
    <phoneticPr fontId="3"/>
  </si>
  <si>
    <t>Waste management</t>
    <phoneticPr fontId="3"/>
  </si>
  <si>
    <t>Environment</t>
    <phoneticPr fontId="3"/>
  </si>
  <si>
    <t>Social</t>
    <phoneticPr fontId="3"/>
  </si>
  <si>
    <t>Extraction/
processing</t>
    <phoneticPr fontId="3"/>
  </si>
  <si>
    <t>Life cycle/supply chain</t>
    <phoneticPr fontId="3"/>
  </si>
  <si>
    <t>Lifetime extension</t>
    <phoneticPr fontId="3"/>
  </si>
  <si>
    <t>Remanufacturing</t>
    <phoneticPr fontId="3"/>
  </si>
  <si>
    <t>Metal linkage</t>
    <phoneticPr fontId="3"/>
  </si>
  <si>
    <t>Geographical boundary</t>
    <phoneticPr fontId="3"/>
  </si>
  <si>
    <t>Solar PV (c-Si) and CSP</t>
    <phoneticPr fontId="3"/>
  </si>
  <si>
    <t>Solar PV (c-Si), CSP and EVs</t>
    <phoneticPr fontId="3"/>
  </si>
  <si>
    <t>Solar PV (c-Si)</t>
    <phoneticPr fontId="3"/>
  </si>
  <si>
    <t>End-uses</t>
    <phoneticPr fontId="3"/>
  </si>
  <si>
    <t>Unit: kt</t>
    <phoneticPr fontId="3"/>
  </si>
  <si>
    <t>for low-carbon technologies</t>
    <phoneticPr fontId="3"/>
  </si>
  <si>
    <t>for all end-uses</t>
    <phoneticPr fontId="3"/>
  </si>
  <si>
    <t>All</t>
    <phoneticPr fontId="3"/>
  </si>
  <si>
    <t>Solar PV (CIGS)</t>
  </si>
  <si>
    <t>Solar PV (CdTe)</t>
  </si>
  <si>
    <t>Electric vehicles</t>
    <phoneticPr fontId="3"/>
  </si>
  <si>
    <t>Solar PV, Wind, CSP and Electric vehicles</t>
  </si>
  <si>
    <t>Solar PV, Wind, CSP and Electric vehicles</t>
    <phoneticPr fontId="3"/>
  </si>
  <si>
    <t>Wind, CSP and Electric vehicles</t>
    <phoneticPr fontId="3"/>
  </si>
  <si>
    <t>Wind</t>
  </si>
  <si>
    <t>Wind and Electric vehicles</t>
  </si>
  <si>
    <t>Wind and Electric vehicles</t>
    <phoneticPr fontId="3"/>
  </si>
  <si>
    <t>Wind and electric vehicles</t>
  </si>
  <si>
    <t>Wind and electric vehicles</t>
    <phoneticPr fontId="3"/>
  </si>
  <si>
    <t>Solar PV</t>
    <phoneticPr fontId="3"/>
  </si>
  <si>
    <t>CSP and Electric vehicles</t>
  </si>
  <si>
    <t>Solar PV, CSP and Electric vehicles</t>
    <phoneticPr fontId="3"/>
  </si>
  <si>
    <t>Solar PV and Nuclear</t>
  </si>
  <si>
    <t>Solar PV, Wind, CSP, CCS and Electric vehicles</t>
    <phoneticPr fontId="3"/>
  </si>
  <si>
    <t>Wind, CSP, Electric vehicles and Fuel cells</t>
    <phoneticPr fontId="3"/>
  </si>
  <si>
    <t>Solar PV, Wind, CSP, Electric vehicles and Fuel cells</t>
  </si>
  <si>
    <t>Solar PV, Wind and Electric vehicles</t>
  </si>
  <si>
    <t>In</t>
  </si>
  <si>
    <t>Ag</t>
  </si>
  <si>
    <t>Pt</t>
  </si>
  <si>
    <t>Se</t>
  </si>
  <si>
    <t>Pb</t>
  </si>
  <si>
    <t>Cd</t>
  </si>
  <si>
    <t>Cr</t>
  </si>
  <si>
    <t>Te</t>
  </si>
  <si>
    <t>Sn</t>
  </si>
  <si>
    <t>Zn</t>
  </si>
  <si>
    <t>Mo</t>
  </si>
  <si>
    <t>Dy</t>
  </si>
  <si>
    <t>Mn</t>
  </si>
  <si>
    <t>Nd</t>
  </si>
  <si>
    <t>Co</t>
  </si>
  <si>
    <t>Ge</t>
  </si>
  <si>
    <t>Ga</t>
  </si>
  <si>
    <t>Cu</t>
  </si>
  <si>
    <t>Ta</t>
  </si>
  <si>
    <t>Ni</t>
  </si>
  <si>
    <t>Li</t>
  </si>
  <si>
    <t>Si</t>
  </si>
  <si>
    <t>NA</t>
  </si>
  <si>
    <t>Year</t>
    <phoneticPr fontId="3"/>
  </si>
  <si>
    <t>Estimated value (kt)</t>
    <phoneticPr fontId="3"/>
  </si>
  <si>
    <t>Max</t>
    <phoneticPr fontId="3"/>
  </si>
  <si>
    <t>Min</t>
    <phoneticPr fontId="3"/>
  </si>
  <si>
    <t>Low-carbon technologies</t>
  </si>
  <si>
    <t>Low-carbon technologies</t>
    <phoneticPr fontId="3"/>
  </si>
  <si>
    <t>Growth rate based on 2015 (-)</t>
    <phoneticPr fontId="3"/>
  </si>
  <si>
    <t>Categories</t>
    <phoneticPr fontId="3"/>
  </si>
  <si>
    <t>Data points (-)</t>
    <phoneticPr fontId="3"/>
  </si>
  <si>
    <t>First author</t>
  </si>
  <si>
    <t>Ayman</t>
  </si>
  <si>
    <t>Elshkaki</t>
  </si>
  <si>
    <t>Donghui</t>
  </si>
  <si>
    <t>Liu</t>
  </si>
  <si>
    <t>Takuma</t>
  </si>
  <si>
    <t>Watari</t>
  </si>
  <si>
    <t>Shivenes</t>
  </si>
  <si>
    <t>Shammugam</t>
  </si>
  <si>
    <t>First name</t>
    <phoneticPr fontId="3"/>
  </si>
  <si>
    <t>Last name</t>
    <phoneticPr fontId="3"/>
  </si>
  <si>
    <t>Emmanuel</t>
  </si>
  <si>
    <t>Hache</t>
  </si>
  <si>
    <t>Tomer</t>
  </si>
  <si>
    <t>Fishman</t>
  </si>
  <si>
    <t>Xiang-Yang</t>
  </si>
  <si>
    <t>Vincent</t>
  </si>
  <si>
    <t>Moreau</t>
  </si>
  <si>
    <t>Antoine</t>
  </si>
  <si>
    <t>Beylot</t>
  </si>
  <si>
    <t>Xin</t>
  </si>
  <si>
    <t>Sun</t>
  </si>
  <si>
    <t>Koji</t>
  </si>
  <si>
    <t>Tokimatsu</t>
  </si>
  <si>
    <t>Alicia</t>
  </si>
  <si>
    <t>Valero</t>
  </si>
  <si>
    <t>André</t>
  </si>
  <si>
    <t>Månberger</t>
  </si>
  <si>
    <t>Wenhua</t>
  </si>
  <si>
    <t>Daniel</t>
  </si>
  <si>
    <t>Imholte</t>
  </si>
  <si>
    <t>Sebastiaan</t>
  </si>
  <si>
    <t>Deetman</t>
  </si>
  <si>
    <t>Saskia</t>
  </si>
  <si>
    <t>Ziemann</t>
  </si>
  <si>
    <t>Arjan</t>
  </si>
  <si>
    <t>de Koning</t>
  </si>
  <si>
    <t>Branco</t>
  </si>
  <si>
    <t>L.D.Danny</t>
  </si>
  <si>
    <t>Harvey</t>
  </si>
  <si>
    <t>Chul</t>
  </si>
  <si>
    <t>Hun Choi</t>
  </si>
  <si>
    <t>Baolu</t>
  </si>
  <si>
    <t>Zhou</t>
  </si>
  <si>
    <t>Elsa</t>
  </si>
  <si>
    <t>Simon</t>
  </si>
  <si>
    <t>Davidsson</t>
  </si>
  <si>
    <t>Olivier</t>
  </si>
  <si>
    <t>Vidal</t>
  </si>
  <si>
    <t>Gunther</t>
  </si>
  <si>
    <t>Martin</t>
  </si>
  <si>
    <t>Dominik</t>
  </si>
  <si>
    <t>Jasiński</t>
  </si>
  <si>
    <t>Jonathan</t>
  </si>
  <si>
    <t>Busch</t>
  </si>
  <si>
    <t>Claudiu</t>
  </si>
  <si>
    <t>Alexandra</t>
  </si>
  <si>
    <t>Pehlken</t>
  </si>
  <si>
    <t>Harald</t>
  </si>
  <si>
    <t>Ulrik Sverdrup</t>
  </si>
  <si>
    <t>Jingshu</t>
  </si>
  <si>
    <t>Zhang</t>
  </si>
  <si>
    <t>Nedal</t>
  </si>
  <si>
    <t>Amund</t>
  </si>
  <si>
    <t>Rita</t>
  </si>
  <si>
    <t>Schulze</t>
  </si>
  <si>
    <t>Benjamin</t>
  </si>
  <si>
    <t>Leena</t>
  </si>
  <si>
    <t>Grandell</t>
  </si>
  <si>
    <t>Alain</t>
  </si>
  <si>
    <t>Rollat</t>
  </si>
  <si>
    <t>Bálint</t>
  </si>
  <si>
    <t>Goksin</t>
  </si>
  <si>
    <t>Kavlak</t>
  </si>
  <si>
    <t>Junbeum</t>
  </si>
  <si>
    <t>Kim</t>
  </si>
  <si>
    <t>Peter</t>
  </si>
  <si>
    <t>Viebahn</t>
  </si>
  <si>
    <t>Anna</t>
  </si>
  <si>
    <t>Stamp</t>
  </si>
  <si>
    <t>Kirti</t>
  </si>
  <si>
    <t>Richa</t>
  </si>
  <si>
    <t>Michele</t>
  </si>
  <si>
    <t>Komal</t>
  </si>
  <si>
    <t>Habib</t>
  </si>
  <si>
    <t>Jamie</t>
  </si>
  <si>
    <t>Speirs</t>
  </si>
  <si>
    <t>Katy</t>
  </si>
  <si>
    <t>Roelich</t>
  </si>
  <si>
    <t>Yassine</t>
  </si>
  <si>
    <t>Houari</t>
  </si>
  <si>
    <t>Florian</t>
  </si>
  <si>
    <t>Fizaine</t>
  </si>
  <si>
    <t>Jan</t>
  </si>
  <si>
    <t>Hanna</t>
  </si>
  <si>
    <t>Vikström</t>
  </si>
  <si>
    <t>R.L.</t>
  </si>
  <si>
    <t>Moss</t>
  </si>
  <si>
    <t>Jelle</t>
  </si>
  <si>
    <t>Sander</t>
  </si>
  <si>
    <t>Hoenderdaal</t>
  </si>
  <si>
    <t>Till</t>
  </si>
  <si>
    <t>Zimmermann</t>
  </si>
  <si>
    <t>Dwarakanath</t>
  </si>
  <si>
    <t>Ravikumar</t>
  </si>
  <si>
    <t>Steve</t>
  </si>
  <si>
    <t>Duncan</t>
  </si>
  <si>
    <t>Kushnir</t>
  </si>
  <si>
    <t>Erik</t>
  </si>
  <si>
    <t>Pihl</t>
  </si>
  <si>
    <t>Vasilis</t>
  </si>
  <si>
    <t>Fthenakis</t>
  </si>
  <si>
    <t>Antonio</t>
  </si>
  <si>
    <t>Garcı´a-Olivares</t>
  </si>
  <si>
    <t>Elisa</t>
  </si>
  <si>
    <t>Alonso</t>
  </si>
  <si>
    <t>Anton</t>
  </si>
  <si>
    <t>Zuser</t>
  </si>
  <si>
    <t>Yongling</t>
  </si>
  <si>
    <t>Paul</t>
  </si>
  <si>
    <t>Thomas</t>
  </si>
  <si>
    <t>Cherico Wanger</t>
  </si>
  <si>
    <t>René</t>
  </si>
  <si>
    <t>Kleijn</t>
  </si>
  <si>
    <t>Andrés</t>
  </si>
  <si>
    <t>Yaksic</t>
  </si>
  <si>
    <t>Bjorn</t>
  </si>
  <si>
    <t>Last name of the first author</t>
  </si>
  <si>
    <t>Last name of the first author</t>
    <phoneticPr fontId="3"/>
  </si>
  <si>
    <t>Schipper</t>
    <phoneticPr fontId="3"/>
  </si>
  <si>
    <t>Olivetti</t>
    <phoneticPr fontId="3"/>
  </si>
  <si>
    <t>Pavel</t>
    <phoneticPr fontId="3"/>
  </si>
  <si>
    <t>Nassar</t>
    <phoneticPr fontId="3"/>
  </si>
  <si>
    <t>Løvik</t>
    <phoneticPr fontId="3"/>
  </si>
  <si>
    <t>McLellan</t>
    <phoneticPr fontId="3"/>
  </si>
  <si>
    <t>Bustamante</t>
    <phoneticPr fontId="3"/>
  </si>
  <si>
    <t>Miedema</t>
    <phoneticPr fontId="3"/>
  </si>
  <si>
    <t>Rademaker</t>
    <phoneticPr fontId="3"/>
  </si>
  <si>
    <t>Mohr</t>
    <phoneticPr fontId="3"/>
  </si>
  <si>
    <t>Gruber</t>
    <phoneticPr fontId="3"/>
  </si>
  <si>
    <t>Andersson</t>
    <phoneticPr fontId="3"/>
  </si>
  <si>
    <t>U.S. Department of Energy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</si>
</sst>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#,##0.000;[Red]\-#,##0.000"/>
    <numFmt numFmtId="178" formatCode="0.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ＭＳ Ｐゴシック"/>
      <family val="3"/>
      <charset val="128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EC0BE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8" fontId="2" fillId="2" borderId="0" xfId="1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176" fontId="2" fillId="2" borderId="0" xfId="1" applyNumberFormat="1" applyFont="1" applyFill="1">
      <alignment vertical="center"/>
    </xf>
    <xf numFmtId="38" fontId="2" fillId="3" borderId="0" xfId="1" applyFont="1" applyFill="1">
      <alignment vertical="center"/>
    </xf>
    <xf numFmtId="176" fontId="2" fillId="3" borderId="0" xfId="1" applyNumberFormat="1" applyFont="1" applyFill="1">
      <alignment vertical="center"/>
    </xf>
    <xf numFmtId="0" fontId="2" fillId="0" borderId="0" xfId="0" applyFont="1" applyAlignment="1">
      <alignment vertical="center"/>
    </xf>
    <xf numFmtId="40" fontId="2" fillId="2" borderId="0" xfId="1" applyNumberFormat="1" applyFont="1" applyFill="1">
      <alignment vertical="center"/>
    </xf>
    <xf numFmtId="177" fontId="2" fillId="2" borderId="0" xfId="1" applyNumberFormat="1" applyFont="1" applyFill="1">
      <alignment vertical="center"/>
    </xf>
    <xf numFmtId="178" fontId="2" fillId="2" borderId="0" xfId="0" applyNumberFormat="1" applyFont="1" applyFill="1">
      <alignment vertical="center"/>
    </xf>
    <xf numFmtId="38" fontId="4" fillId="0" borderId="7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38" fontId="2" fillId="0" borderId="0" xfId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EC0BE"/>
      <color rgb="FFFEA2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94</xdr:row>
      <xdr:rowOff>114300</xdr:rowOff>
    </xdr:from>
    <xdr:to>
      <xdr:col>10</xdr:col>
      <xdr:colOff>851933</xdr:colOff>
      <xdr:row>118</xdr:row>
      <xdr:rowOff>87202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D72F49-F3E2-4D80-968A-E847F4E1C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15497175"/>
          <a:ext cx="8986283" cy="38591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9AD0-0FBC-4B13-AFDB-02C88FDA4619}">
  <dimension ref="B2:F91"/>
  <sheetViews>
    <sheetView tabSelected="1" workbookViewId="0">
      <selection activeCell="F27" sqref="F27"/>
    </sheetView>
  </sheetViews>
  <sheetFormatPr defaultRowHeight="12.75" x14ac:dyDescent="0.4"/>
  <cols>
    <col min="1" max="1" width="9" style="3"/>
    <col min="2" max="2" width="10.625" style="4" customWidth="1"/>
    <col min="3" max="4" width="24" style="4" customWidth="1"/>
    <col min="5" max="5" width="12.375" style="4" customWidth="1"/>
    <col min="6" max="6" width="125" style="5" customWidth="1"/>
    <col min="7" max="16384" width="9" style="3"/>
  </cols>
  <sheetData>
    <row r="2" spans="2:6" ht="17.25" customHeight="1" x14ac:dyDescent="0.4">
      <c r="B2" s="29" t="s">
        <v>117</v>
      </c>
      <c r="C2" s="31" t="s">
        <v>186</v>
      </c>
      <c r="D2" s="32"/>
      <c r="E2" s="29" t="s">
        <v>0</v>
      </c>
      <c r="F2" s="30" t="s">
        <v>1</v>
      </c>
    </row>
    <row r="3" spans="2:6" ht="17.25" customHeight="1" x14ac:dyDescent="0.4">
      <c r="B3" s="29"/>
      <c r="C3" s="10" t="s">
        <v>195</v>
      </c>
      <c r="D3" s="10" t="s">
        <v>196</v>
      </c>
      <c r="E3" s="29"/>
      <c r="F3" s="30"/>
    </row>
    <row r="4" spans="2:6" x14ac:dyDescent="0.4">
      <c r="B4" s="4">
        <v>1</v>
      </c>
      <c r="C4" s="26" t="s">
        <v>187</v>
      </c>
      <c r="D4" s="26" t="s">
        <v>188</v>
      </c>
      <c r="E4" s="27">
        <v>2019</v>
      </c>
      <c r="F4" s="8" t="s">
        <v>2</v>
      </c>
    </row>
    <row r="5" spans="2:6" x14ac:dyDescent="0.4">
      <c r="B5" s="4">
        <v>2</v>
      </c>
      <c r="C5" s="26" t="s">
        <v>189</v>
      </c>
      <c r="D5" s="26" t="s">
        <v>190</v>
      </c>
      <c r="E5" s="27">
        <v>2019</v>
      </c>
      <c r="F5" s="8" t="s">
        <v>3</v>
      </c>
    </row>
    <row r="6" spans="2:6" x14ac:dyDescent="0.4">
      <c r="B6" s="4">
        <v>3</v>
      </c>
      <c r="C6" s="26" t="s">
        <v>191</v>
      </c>
      <c r="D6" s="26" t="s">
        <v>192</v>
      </c>
      <c r="E6" s="27">
        <v>2019</v>
      </c>
      <c r="F6" s="8" t="s">
        <v>4</v>
      </c>
    </row>
    <row r="7" spans="2:6" x14ac:dyDescent="0.4">
      <c r="B7" s="4">
        <v>4</v>
      </c>
      <c r="C7" s="26" t="s">
        <v>193</v>
      </c>
      <c r="D7" s="26" t="s">
        <v>194</v>
      </c>
      <c r="E7" s="27">
        <v>2019</v>
      </c>
      <c r="F7" s="8" t="s">
        <v>5</v>
      </c>
    </row>
    <row r="8" spans="2:6" x14ac:dyDescent="0.4">
      <c r="B8" s="4">
        <v>5</v>
      </c>
      <c r="C8" s="26" t="s">
        <v>197</v>
      </c>
      <c r="D8" s="26" t="s">
        <v>198</v>
      </c>
      <c r="E8" s="27">
        <v>2019</v>
      </c>
      <c r="F8" s="8" t="s">
        <v>6</v>
      </c>
    </row>
    <row r="9" spans="2:6" x14ac:dyDescent="0.4">
      <c r="B9" s="4">
        <v>6</v>
      </c>
      <c r="C9" s="26" t="s">
        <v>199</v>
      </c>
      <c r="D9" s="26" t="s">
        <v>200</v>
      </c>
      <c r="E9" s="27">
        <v>2019</v>
      </c>
      <c r="F9" s="8" t="s">
        <v>7</v>
      </c>
    </row>
    <row r="10" spans="2:6" x14ac:dyDescent="0.4">
      <c r="B10" s="4">
        <v>7</v>
      </c>
      <c r="C10" s="26" t="s">
        <v>201</v>
      </c>
      <c r="D10" s="26" t="s">
        <v>174</v>
      </c>
      <c r="E10" s="27">
        <v>2019</v>
      </c>
      <c r="F10" s="8" t="s">
        <v>8</v>
      </c>
    </row>
    <row r="11" spans="2:6" x14ac:dyDescent="0.4">
      <c r="B11" s="4">
        <v>8</v>
      </c>
      <c r="C11" s="26" t="s">
        <v>202</v>
      </c>
      <c r="D11" s="26" t="s">
        <v>203</v>
      </c>
      <c r="E11" s="27">
        <v>2019</v>
      </c>
      <c r="F11" s="8" t="s">
        <v>9</v>
      </c>
    </row>
    <row r="12" spans="2:6" x14ac:dyDescent="0.4">
      <c r="B12" s="4">
        <v>9</v>
      </c>
      <c r="C12" s="26" t="s">
        <v>204</v>
      </c>
      <c r="D12" s="26" t="s">
        <v>205</v>
      </c>
      <c r="E12" s="27">
        <v>2019</v>
      </c>
      <c r="F12" s="8" t="s">
        <v>10</v>
      </c>
    </row>
    <row r="13" spans="2:6" x14ac:dyDescent="0.4">
      <c r="B13" s="4">
        <v>10</v>
      </c>
      <c r="C13" s="26" t="s">
        <v>206</v>
      </c>
      <c r="D13" s="26" t="s">
        <v>207</v>
      </c>
      <c r="E13" s="27">
        <v>2018</v>
      </c>
      <c r="F13" s="8" t="s">
        <v>11</v>
      </c>
    </row>
    <row r="14" spans="2:6" x14ac:dyDescent="0.4">
      <c r="B14" s="4">
        <v>11</v>
      </c>
      <c r="C14" s="26" t="s">
        <v>208</v>
      </c>
      <c r="D14" s="26" t="s">
        <v>209</v>
      </c>
      <c r="E14" s="27">
        <v>2018</v>
      </c>
      <c r="F14" s="8" t="s">
        <v>12</v>
      </c>
    </row>
    <row r="15" spans="2:6" x14ac:dyDescent="0.4">
      <c r="B15" s="4">
        <v>12</v>
      </c>
      <c r="C15" s="26" t="s">
        <v>210</v>
      </c>
      <c r="D15" s="26" t="s">
        <v>211</v>
      </c>
      <c r="E15" s="27">
        <v>2018</v>
      </c>
      <c r="F15" s="8" t="s">
        <v>13</v>
      </c>
    </row>
    <row r="16" spans="2:6" x14ac:dyDescent="0.4">
      <c r="B16" s="4">
        <v>13</v>
      </c>
      <c r="C16" s="26" t="s">
        <v>210</v>
      </c>
      <c r="D16" s="26" t="s">
        <v>211</v>
      </c>
      <c r="E16" s="26">
        <v>2018</v>
      </c>
      <c r="F16" s="8" t="s">
        <v>14</v>
      </c>
    </row>
    <row r="17" spans="2:6" x14ac:dyDescent="0.4">
      <c r="B17" s="4">
        <v>14</v>
      </c>
      <c r="C17" s="26" t="s">
        <v>212</v>
      </c>
      <c r="D17" s="26" t="s">
        <v>213</v>
      </c>
      <c r="E17" s="26">
        <v>2018</v>
      </c>
      <c r="F17" s="8" t="s">
        <v>15</v>
      </c>
    </row>
    <row r="18" spans="2:6" x14ac:dyDescent="0.4">
      <c r="B18" s="4">
        <v>15</v>
      </c>
      <c r="C18" s="26" t="s">
        <v>214</v>
      </c>
      <c r="D18" s="26" t="s">
        <v>174</v>
      </c>
      <c r="E18" s="26">
        <v>2018</v>
      </c>
      <c r="F18" s="8" t="s">
        <v>16</v>
      </c>
    </row>
    <row r="19" spans="2:6" x14ac:dyDescent="0.4">
      <c r="B19" s="4">
        <v>16</v>
      </c>
      <c r="C19" s="26" t="s">
        <v>191</v>
      </c>
      <c r="D19" s="26" t="s">
        <v>192</v>
      </c>
      <c r="E19" s="4">
        <v>2018</v>
      </c>
      <c r="F19" s="5" t="s">
        <v>17</v>
      </c>
    </row>
    <row r="20" spans="2:6" x14ac:dyDescent="0.4">
      <c r="B20" s="4">
        <v>17</v>
      </c>
      <c r="C20" s="26" t="s">
        <v>215</v>
      </c>
      <c r="D20" s="26" t="s">
        <v>216</v>
      </c>
      <c r="E20" s="4">
        <v>2018</v>
      </c>
      <c r="F20" s="5" t="s">
        <v>18</v>
      </c>
    </row>
    <row r="21" spans="2:6" x14ac:dyDescent="0.4">
      <c r="B21" s="4">
        <v>18</v>
      </c>
      <c r="C21" s="26" t="s">
        <v>217</v>
      </c>
      <c r="D21" s="26" t="s">
        <v>218</v>
      </c>
      <c r="E21" s="4">
        <v>2018</v>
      </c>
      <c r="F21" s="5" t="s">
        <v>19</v>
      </c>
    </row>
    <row r="22" spans="2:6" x14ac:dyDescent="0.4">
      <c r="B22" s="4">
        <v>19</v>
      </c>
      <c r="C22" s="26" t="s">
        <v>219</v>
      </c>
      <c r="D22" s="26" t="s">
        <v>220</v>
      </c>
      <c r="E22" s="4">
        <v>2018</v>
      </c>
      <c r="F22" s="5" t="s">
        <v>20</v>
      </c>
    </row>
    <row r="23" spans="2:6" x14ac:dyDescent="0.4">
      <c r="B23" s="4">
        <v>20</v>
      </c>
      <c r="C23" s="26" t="s">
        <v>221</v>
      </c>
      <c r="D23" s="26" t="s">
        <v>222</v>
      </c>
      <c r="E23" s="4">
        <v>2018</v>
      </c>
      <c r="F23" s="5" t="s">
        <v>21</v>
      </c>
    </row>
    <row r="24" spans="2:6" x14ac:dyDescent="0.4">
      <c r="B24" s="4">
        <v>21</v>
      </c>
      <c r="C24" s="26" t="s">
        <v>199</v>
      </c>
      <c r="D24" s="26" t="s">
        <v>200</v>
      </c>
      <c r="E24" s="4">
        <v>2018</v>
      </c>
      <c r="F24" s="5" t="s">
        <v>22</v>
      </c>
    </row>
    <row r="25" spans="2:6" x14ac:dyDescent="0.4">
      <c r="B25" s="4">
        <v>22</v>
      </c>
      <c r="C25" s="26" t="s">
        <v>223</v>
      </c>
      <c r="D25" s="26" t="s">
        <v>315</v>
      </c>
      <c r="E25" s="4">
        <v>2018</v>
      </c>
      <c r="F25" s="5" t="s">
        <v>23</v>
      </c>
    </row>
    <row r="26" spans="2:6" x14ac:dyDescent="0.4">
      <c r="B26" s="4">
        <v>23</v>
      </c>
      <c r="C26" s="26" t="s">
        <v>224</v>
      </c>
      <c r="D26" s="26" t="s">
        <v>225</v>
      </c>
      <c r="E26" s="4">
        <v>2018</v>
      </c>
      <c r="F26" s="5" t="s">
        <v>24</v>
      </c>
    </row>
    <row r="27" spans="2:6" x14ac:dyDescent="0.4">
      <c r="B27" s="4">
        <v>24</v>
      </c>
      <c r="C27" s="26" t="s">
        <v>226</v>
      </c>
      <c r="D27" s="26" t="s">
        <v>227</v>
      </c>
      <c r="E27" s="4">
        <v>2018</v>
      </c>
      <c r="F27" s="5" t="s">
        <v>25</v>
      </c>
    </row>
    <row r="28" spans="2:6" x14ac:dyDescent="0.4">
      <c r="B28" s="4">
        <v>25</v>
      </c>
      <c r="C28" s="26" t="s">
        <v>228</v>
      </c>
      <c r="D28" s="26" t="s">
        <v>229</v>
      </c>
      <c r="E28" s="4">
        <v>2017</v>
      </c>
      <c r="F28" s="5" t="s">
        <v>26</v>
      </c>
    </row>
    <row r="29" spans="2:6" x14ac:dyDescent="0.4">
      <c r="B29" s="4">
        <v>26</v>
      </c>
      <c r="C29" s="26" t="s">
        <v>230</v>
      </c>
      <c r="D29" s="26" t="s">
        <v>316</v>
      </c>
      <c r="E29" s="4">
        <v>2017</v>
      </c>
      <c r="F29" s="5" t="s">
        <v>27</v>
      </c>
    </row>
    <row r="30" spans="2:6" x14ac:dyDescent="0.4">
      <c r="B30" s="4">
        <v>27</v>
      </c>
      <c r="C30" s="26" t="s">
        <v>208</v>
      </c>
      <c r="D30" s="26" t="s">
        <v>209</v>
      </c>
      <c r="E30" s="4">
        <v>2017</v>
      </c>
      <c r="F30" s="5" t="s">
        <v>28</v>
      </c>
    </row>
    <row r="31" spans="2:6" x14ac:dyDescent="0.4">
      <c r="B31" s="4">
        <v>28</v>
      </c>
      <c r="C31" s="26" t="s">
        <v>231</v>
      </c>
      <c r="D31" s="26" t="s">
        <v>232</v>
      </c>
      <c r="E31" s="4">
        <v>2017</v>
      </c>
      <c r="F31" s="5" t="s">
        <v>29</v>
      </c>
    </row>
    <row r="32" spans="2:6" x14ac:dyDescent="0.4">
      <c r="B32" s="4">
        <v>29</v>
      </c>
      <c r="C32" s="26" t="s">
        <v>233</v>
      </c>
      <c r="D32" s="26" t="s">
        <v>234</v>
      </c>
      <c r="E32" s="4">
        <v>2017</v>
      </c>
      <c r="F32" s="5" t="s">
        <v>30</v>
      </c>
    </row>
    <row r="33" spans="2:6" x14ac:dyDescent="0.4">
      <c r="B33" s="4">
        <v>30</v>
      </c>
      <c r="C33" s="26" t="s">
        <v>235</v>
      </c>
      <c r="D33" s="26" t="s">
        <v>236</v>
      </c>
      <c r="E33" s="4">
        <v>2017</v>
      </c>
      <c r="F33" s="5" t="s">
        <v>31</v>
      </c>
    </row>
    <row r="34" spans="2:6" x14ac:dyDescent="0.4">
      <c r="B34" s="4">
        <v>31</v>
      </c>
      <c r="C34" s="26" t="s">
        <v>237</v>
      </c>
      <c r="D34" s="26" t="s">
        <v>238</v>
      </c>
      <c r="E34" s="4">
        <v>2017</v>
      </c>
      <c r="F34" s="5" t="s">
        <v>32</v>
      </c>
    </row>
    <row r="35" spans="2:6" x14ac:dyDescent="0.4">
      <c r="B35" s="4">
        <v>32</v>
      </c>
      <c r="C35" s="26" t="s">
        <v>239</v>
      </c>
      <c r="D35" s="26" t="s">
        <v>240</v>
      </c>
      <c r="E35" s="4">
        <v>2017</v>
      </c>
      <c r="F35" s="5" t="s">
        <v>33</v>
      </c>
    </row>
    <row r="36" spans="2:6" x14ac:dyDescent="0.4">
      <c r="B36" s="4">
        <v>33</v>
      </c>
      <c r="C36" s="26" t="s">
        <v>241</v>
      </c>
      <c r="D36" s="26" t="s">
        <v>317</v>
      </c>
      <c r="E36" s="4">
        <v>2017</v>
      </c>
      <c r="F36" s="5" t="s">
        <v>34</v>
      </c>
    </row>
    <row r="37" spans="2:6" x14ac:dyDescent="0.4">
      <c r="B37" s="4">
        <v>34</v>
      </c>
      <c r="C37" s="26" t="s">
        <v>242</v>
      </c>
      <c r="D37" s="26" t="s">
        <v>243</v>
      </c>
      <c r="E37" s="4">
        <v>2017</v>
      </c>
      <c r="F37" s="5" t="s">
        <v>35</v>
      </c>
    </row>
    <row r="38" spans="2:6" x14ac:dyDescent="0.4">
      <c r="B38" s="4">
        <v>35</v>
      </c>
      <c r="C38" s="26" t="s">
        <v>244</v>
      </c>
      <c r="D38" s="26" t="s">
        <v>245</v>
      </c>
      <c r="E38" s="4">
        <v>2016</v>
      </c>
      <c r="F38" s="5" t="s">
        <v>36</v>
      </c>
    </row>
    <row r="39" spans="2:6" x14ac:dyDescent="0.4">
      <c r="B39" s="4">
        <v>36</v>
      </c>
      <c r="C39" s="26" t="s">
        <v>246</v>
      </c>
      <c r="D39" s="26" t="s">
        <v>247</v>
      </c>
      <c r="E39" s="4">
        <v>2016</v>
      </c>
      <c r="F39" s="5" t="s">
        <v>37</v>
      </c>
    </row>
    <row r="40" spans="2:6" x14ac:dyDescent="0.4">
      <c r="B40" s="4">
        <v>37</v>
      </c>
      <c r="C40" s="26" t="s">
        <v>248</v>
      </c>
      <c r="D40" s="26" t="s">
        <v>318</v>
      </c>
      <c r="E40" s="4">
        <v>2016</v>
      </c>
      <c r="F40" s="5" t="s">
        <v>38</v>
      </c>
    </row>
    <row r="41" spans="2:6" x14ac:dyDescent="0.4">
      <c r="B41" s="4">
        <v>38</v>
      </c>
      <c r="C41" s="26" t="s">
        <v>226</v>
      </c>
      <c r="D41" s="26" t="s">
        <v>227</v>
      </c>
      <c r="E41" s="4">
        <v>2016</v>
      </c>
      <c r="F41" s="5" t="s">
        <v>39</v>
      </c>
    </row>
    <row r="42" spans="2:6" x14ac:dyDescent="0.4">
      <c r="B42" s="4">
        <v>39</v>
      </c>
      <c r="C42" s="26" t="s">
        <v>249</v>
      </c>
      <c r="D42" s="26" t="s">
        <v>319</v>
      </c>
      <c r="E42" s="4">
        <v>2016</v>
      </c>
      <c r="F42" s="5" t="s">
        <v>40</v>
      </c>
    </row>
    <row r="43" spans="2:6" x14ac:dyDescent="0.4">
      <c r="B43" s="4">
        <v>40</v>
      </c>
      <c r="C43" s="26" t="s">
        <v>250</v>
      </c>
      <c r="D43" s="26" t="s">
        <v>251</v>
      </c>
      <c r="E43" s="4">
        <v>2016</v>
      </c>
      <c r="F43" s="5" t="s">
        <v>41</v>
      </c>
    </row>
    <row r="44" spans="2:6" x14ac:dyDescent="0.4">
      <c r="B44" s="4">
        <v>41</v>
      </c>
      <c r="C44" s="26" t="s">
        <v>252</v>
      </c>
      <c r="D44" s="26" t="s">
        <v>320</v>
      </c>
      <c r="E44" s="4">
        <v>2016</v>
      </c>
      <c r="F44" s="5" t="s">
        <v>42</v>
      </c>
    </row>
    <row r="45" spans="2:6" x14ac:dyDescent="0.4">
      <c r="B45" s="4">
        <v>42</v>
      </c>
      <c r="C45" s="26" t="s">
        <v>253</v>
      </c>
      <c r="D45" s="26" t="s">
        <v>254</v>
      </c>
      <c r="E45" s="4">
        <v>2016</v>
      </c>
      <c r="F45" s="5" t="s">
        <v>43</v>
      </c>
    </row>
    <row r="46" spans="2:6" x14ac:dyDescent="0.4">
      <c r="B46" s="4">
        <v>43</v>
      </c>
      <c r="C46" s="26" t="s">
        <v>255</v>
      </c>
      <c r="D46" s="26" t="s">
        <v>256</v>
      </c>
      <c r="E46" s="4">
        <v>2016</v>
      </c>
      <c r="F46" s="5" t="s">
        <v>44</v>
      </c>
    </row>
    <row r="47" spans="2:6" x14ac:dyDescent="0.4">
      <c r="B47" s="4">
        <v>44</v>
      </c>
      <c r="C47" s="26" t="s">
        <v>257</v>
      </c>
      <c r="D47" s="26" t="s">
        <v>231</v>
      </c>
      <c r="E47" s="4">
        <v>2015</v>
      </c>
      <c r="F47" s="5" t="s">
        <v>45</v>
      </c>
    </row>
    <row r="48" spans="2:6" x14ac:dyDescent="0.4">
      <c r="B48" s="4">
        <v>45</v>
      </c>
      <c r="C48" s="26" t="s">
        <v>187</v>
      </c>
      <c r="D48" s="26" t="s">
        <v>188</v>
      </c>
      <c r="E48" s="4">
        <v>2015</v>
      </c>
      <c r="F48" s="5" t="s">
        <v>46</v>
      </c>
    </row>
    <row r="49" spans="2:6" x14ac:dyDescent="0.4">
      <c r="B49" s="4">
        <v>46</v>
      </c>
      <c r="C49" s="26" t="s">
        <v>258</v>
      </c>
      <c r="D49" s="26" t="s">
        <v>259</v>
      </c>
      <c r="E49" s="26">
        <v>2015</v>
      </c>
      <c r="F49" s="8" t="s">
        <v>47</v>
      </c>
    </row>
    <row r="50" spans="2:6" x14ac:dyDescent="0.4">
      <c r="B50" s="4">
        <v>47</v>
      </c>
      <c r="C50" s="26" t="s">
        <v>260</v>
      </c>
      <c r="D50" s="26" t="s">
        <v>261</v>
      </c>
      <c r="E50" s="26">
        <v>2015</v>
      </c>
      <c r="F50" s="8" t="s">
        <v>48</v>
      </c>
    </row>
    <row r="51" spans="2:6" x14ac:dyDescent="0.4">
      <c r="B51" s="4">
        <v>48</v>
      </c>
      <c r="C51" s="26" t="s">
        <v>262</v>
      </c>
      <c r="D51" s="26" t="s">
        <v>263</v>
      </c>
      <c r="E51" s="26">
        <v>2015</v>
      </c>
      <c r="F51" s="8" t="s">
        <v>49</v>
      </c>
    </row>
    <row r="52" spans="2:6" x14ac:dyDescent="0.4">
      <c r="B52" s="4">
        <v>49</v>
      </c>
      <c r="C52" s="26" t="s">
        <v>187</v>
      </c>
      <c r="D52" s="26" t="s">
        <v>188</v>
      </c>
      <c r="E52" s="26">
        <v>2014</v>
      </c>
      <c r="F52" s="8" t="s">
        <v>50</v>
      </c>
    </row>
    <row r="53" spans="2:6" x14ac:dyDescent="0.4">
      <c r="B53" s="4">
        <v>50</v>
      </c>
      <c r="C53" s="26" t="s">
        <v>231</v>
      </c>
      <c r="D53" s="26" t="s">
        <v>232</v>
      </c>
      <c r="E53" s="26">
        <v>2014</v>
      </c>
      <c r="F53" s="8" t="s">
        <v>51</v>
      </c>
    </row>
    <row r="54" spans="2:6" x14ac:dyDescent="0.4">
      <c r="B54" s="4">
        <v>51</v>
      </c>
      <c r="C54" s="26" t="s">
        <v>264</v>
      </c>
      <c r="D54" s="26" t="s">
        <v>265</v>
      </c>
      <c r="E54" s="4">
        <v>2014</v>
      </c>
      <c r="F54" s="5" t="s">
        <v>52</v>
      </c>
    </row>
    <row r="55" spans="2:6" x14ac:dyDescent="0.4">
      <c r="B55" s="4">
        <v>52</v>
      </c>
      <c r="C55" s="26" t="s">
        <v>266</v>
      </c>
      <c r="D55" s="26" t="s">
        <v>267</v>
      </c>
      <c r="E55" s="4">
        <v>2014</v>
      </c>
      <c r="F55" s="5" t="s">
        <v>53</v>
      </c>
    </row>
    <row r="56" spans="2:6" x14ac:dyDescent="0.4">
      <c r="B56" s="4">
        <v>53</v>
      </c>
      <c r="C56" s="26" t="s">
        <v>239</v>
      </c>
      <c r="D56" s="26" t="s">
        <v>240</v>
      </c>
      <c r="E56" s="4">
        <v>2014</v>
      </c>
      <c r="F56" s="5" t="s">
        <v>54</v>
      </c>
    </row>
    <row r="57" spans="2:6" x14ac:dyDescent="0.4">
      <c r="B57" s="4">
        <v>54</v>
      </c>
      <c r="C57" s="26" t="s">
        <v>268</v>
      </c>
      <c r="D57" s="26" t="s">
        <v>321</v>
      </c>
      <c r="E57" s="4">
        <v>2014</v>
      </c>
      <c r="F57" s="5" t="s">
        <v>55</v>
      </c>
    </row>
    <row r="58" spans="2:6" x14ac:dyDescent="0.4">
      <c r="B58" s="4">
        <v>55</v>
      </c>
      <c r="C58" s="26" t="s">
        <v>269</v>
      </c>
      <c r="D58" s="26" t="s">
        <v>270</v>
      </c>
      <c r="E58" s="4">
        <v>2014</v>
      </c>
      <c r="F58" s="5" t="s">
        <v>56</v>
      </c>
    </row>
    <row r="59" spans="2:6" x14ac:dyDescent="0.4">
      <c r="B59" s="4">
        <v>56</v>
      </c>
      <c r="C59" s="26" t="s">
        <v>271</v>
      </c>
      <c r="D59" s="26" t="s">
        <v>272</v>
      </c>
      <c r="E59" s="4">
        <v>2014</v>
      </c>
      <c r="F59" s="5" t="s">
        <v>57</v>
      </c>
    </row>
    <row r="60" spans="2:6" x14ac:dyDescent="0.4">
      <c r="B60" s="4">
        <v>57</v>
      </c>
      <c r="C60" s="26" t="s">
        <v>273</v>
      </c>
      <c r="D60" s="26" t="s">
        <v>274</v>
      </c>
      <c r="E60" s="4">
        <v>2014</v>
      </c>
      <c r="F60" s="5" t="s">
        <v>58</v>
      </c>
    </row>
    <row r="61" spans="2:6" x14ac:dyDescent="0.4">
      <c r="B61" s="4">
        <v>58</v>
      </c>
      <c r="C61" s="26" t="s">
        <v>275</v>
      </c>
      <c r="D61" s="26" t="s">
        <v>276</v>
      </c>
      <c r="E61" s="4">
        <v>2014</v>
      </c>
      <c r="F61" s="5" t="s">
        <v>59</v>
      </c>
    </row>
    <row r="62" spans="2:6" x14ac:dyDescent="0.4">
      <c r="B62" s="4">
        <v>59</v>
      </c>
      <c r="C62" s="26" t="s">
        <v>233</v>
      </c>
      <c r="D62" s="26" t="s">
        <v>234</v>
      </c>
      <c r="E62" s="4">
        <v>2013</v>
      </c>
      <c r="F62" s="5" t="s">
        <v>60</v>
      </c>
    </row>
    <row r="63" spans="2:6" x14ac:dyDescent="0.4">
      <c r="B63" s="4">
        <v>60</v>
      </c>
      <c r="C63" s="26" t="s">
        <v>187</v>
      </c>
      <c r="D63" s="26" t="s">
        <v>188</v>
      </c>
      <c r="E63" s="4">
        <v>2013</v>
      </c>
      <c r="F63" s="5" t="s">
        <v>61</v>
      </c>
    </row>
    <row r="64" spans="2:6" x14ac:dyDescent="0.4">
      <c r="B64" s="4">
        <v>61</v>
      </c>
      <c r="C64" s="26" t="s">
        <v>187</v>
      </c>
      <c r="D64" s="26" t="s">
        <v>188</v>
      </c>
      <c r="E64" s="4">
        <v>2013</v>
      </c>
      <c r="F64" s="5" t="s">
        <v>62</v>
      </c>
    </row>
    <row r="65" spans="2:6" x14ac:dyDescent="0.4">
      <c r="B65" s="4">
        <v>62</v>
      </c>
      <c r="C65" s="26" t="s">
        <v>277</v>
      </c>
      <c r="D65" s="26" t="s">
        <v>278</v>
      </c>
      <c r="E65" s="4">
        <v>2013</v>
      </c>
      <c r="F65" s="5" t="s">
        <v>63</v>
      </c>
    </row>
    <row r="66" spans="2:6" x14ac:dyDescent="0.4">
      <c r="B66" s="4">
        <v>63</v>
      </c>
      <c r="C66" s="26" t="s">
        <v>279</v>
      </c>
      <c r="D66" s="26" t="s">
        <v>322</v>
      </c>
      <c r="E66" s="4">
        <v>2013</v>
      </c>
      <c r="F66" s="5" t="s">
        <v>64</v>
      </c>
    </row>
    <row r="67" spans="2:6" x14ac:dyDescent="0.4">
      <c r="B67" s="4">
        <v>64</v>
      </c>
      <c r="C67" s="26" t="s">
        <v>280</v>
      </c>
      <c r="D67" s="26" t="s">
        <v>281</v>
      </c>
      <c r="E67" s="4">
        <v>2013</v>
      </c>
      <c r="F67" s="5" t="s">
        <v>65</v>
      </c>
    </row>
    <row r="68" spans="2:6" x14ac:dyDescent="0.4">
      <c r="B68" s="4">
        <v>65</v>
      </c>
      <c r="C68" s="26" t="s">
        <v>282</v>
      </c>
      <c r="D68" s="26" t="s">
        <v>283</v>
      </c>
      <c r="E68" s="4">
        <v>2013</v>
      </c>
      <c r="F68" s="5" t="s">
        <v>66</v>
      </c>
    </row>
    <row r="69" spans="2:6" x14ac:dyDescent="0.4">
      <c r="B69" s="4">
        <v>66</v>
      </c>
      <c r="C69" s="26" t="s">
        <v>284</v>
      </c>
      <c r="D69" s="26" t="s">
        <v>323</v>
      </c>
      <c r="E69" s="4">
        <v>2013</v>
      </c>
      <c r="F69" s="5" t="s">
        <v>67</v>
      </c>
    </row>
    <row r="70" spans="2:6" x14ac:dyDescent="0.4">
      <c r="B70" s="4">
        <v>67</v>
      </c>
      <c r="C70" s="26" t="s">
        <v>285</v>
      </c>
      <c r="D70" s="26" t="s">
        <v>286</v>
      </c>
      <c r="E70" s="4">
        <v>2013</v>
      </c>
      <c r="F70" s="5" t="s">
        <v>68</v>
      </c>
    </row>
    <row r="71" spans="2:6" x14ac:dyDescent="0.4">
      <c r="B71" s="4">
        <v>68</v>
      </c>
      <c r="C71" s="26" t="s">
        <v>287</v>
      </c>
      <c r="D71" s="26" t="s">
        <v>288</v>
      </c>
      <c r="E71" s="4">
        <v>2013</v>
      </c>
      <c r="F71" s="5" t="s">
        <v>69</v>
      </c>
    </row>
    <row r="72" spans="2:6" x14ac:dyDescent="0.4">
      <c r="B72" s="4">
        <v>69</v>
      </c>
      <c r="C72" s="26" t="s">
        <v>289</v>
      </c>
      <c r="D72" s="26" t="s">
        <v>290</v>
      </c>
      <c r="E72" s="4">
        <v>2013</v>
      </c>
      <c r="F72" s="5" t="s">
        <v>70</v>
      </c>
    </row>
    <row r="73" spans="2:6" x14ac:dyDescent="0.4">
      <c r="B73" s="4">
        <v>70</v>
      </c>
      <c r="C73" s="26" t="s">
        <v>291</v>
      </c>
      <c r="D73" s="26" t="s">
        <v>324</v>
      </c>
      <c r="E73" s="4">
        <v>2012</v>
      </c>
      <c r="F73" s="5" t="s">
        <v>71</v>
      </c>
    </row>
    <row r="74" spans="2:6" x14ac:dyDescent="0.4">
      <c r="B74" s="4">
        <v>71</v>
      </c>
      <c r="C74" s="26" t="s">
        <v>292</v>
      </c>
      <c r="D74" s="26" t="s">
        <v>293</v>
      </c>
      <c r="E74" s="4">
        <v>2012</v>
      </c>
      <c r="F74" s="5" t="s">
        <v>72</v>
      </c>
    </row>
    <row r="75" spans="2:6" x14ac:dyDescent="0.4">
      <c r="B75" s="4">
        <v>72</v>
      </c>
      <c r="C75" s="26" t="s">
        <v>294</v>
      </c>
      <c r="D75" s="26" t="s">
        <v>295</v>
      </c>
      <c r="E75" s="4">
        <v>2012</v>
      </c>
      <c r="F75" s="5" t="s">
        <v>73</v>
      </c>
    </row>
    <row r="76" spans="2:6" x14ac:dyDescent="0.4">
      <c r="B76" s="4">
        <v>73</v>
      </c>
      <c r="C76" s="26" t="s">
        <v>296</v>
      </c>
      <c r="D76" s="26" t="s">
        <v>297</v>
      </c>
      <c r="E76" s="4">
        <v>2012</v>
      </c>
      <c r="F76" s="5" t="s">
        <v>74</v>
      </c>
    </row>
    <row r="77" spans="2:6" x14ac:dyDescent="0.4">
      <c r="B77" s="4">
        <v>74</v>
      </c>
      <c r="C77" s="26" t="s">
        <v>298</v>
      </c>
      <c r="D77" s="26" t="s">
        <v>299</v>
      </c>
      <c r="E77" s="4">
        <v>2012</v>
      </c>
      <c r="F77" s="5" t="s">
        <v>75</v>
      </c>
    </row>
    <row r="78" spans="2:6" x14ac:dyDescent="0.4">
      <c r="B78" s="4">
        <v>75</v>
      </c>
      <c r="C78" s="26" t="s">
        <v>300</v>
      </c>
      <c r="D78" s="26" t="s">
        <v>301</v>
      </c>
      <c r="E78" s="4">
        <v>2012</v>
      </c>
      <c r="F78" s="5" t="s">
        <v>76</v>
      </c>
    </row>
    <row r="79" spans="2:6" x14ac:dyDescent="0.4">
      <c r="B79" s="4">
        <v>76</v>
      </c>
      <c r="C79" s="26" t="s">
        <v>300</v>
      </c>
      <c r="D79" s="26" t="s">
        <v>301</v>
      </c>
      <c r="E79" s="4">
        <v>2012</v>
      </c>
      <c r="F79" s="5" t="s">
        <v>77</v>
      </c>
    </row>
    <row r="80" spans="2:6" x14ac:dyDescent="0.4">
      <c r="B80" s="4">
        <v>77</v>
      </c>
      <c r="C80" s="26" t="s">
        <v>302</v>
      </c>
      <c r="D80" s="26" t="s">
        <v>303</v>
      </c>
      <c r="E80" s="4">
        <v>2011</v>
      </c>
      <c r="F80" s="5" t="s">
        <v>78</v>
      </c>
    </row>
    <row r="81" spans="2:6" x14ac:dyDescent="0.4">
      <c r="B81" s="4">
        <v>78</v>
      </c>
      <c r="C81" s="26" t="s">
        <v>304</v>
      </c>
      <c r="D81" s="26" t="s">
        <v>207</v>
      </c>
      <c r="E81" s="4">
        <v>2011</v>
      </c>
      <c r="F81" s="5" t="s">
        <v>79</v>
      </c>
    </row>
    <row r="82" spans="2:6" x14ac:dyDescent="0.4">
      <c r="B82" s="4">
        <v>79</v>
      </c>
      <c r="C82" s="26" t="s">
        <v>305</v>
      </c>
      <c r="D82" s="26" t="s">
        <v>325</v>
      </c>
      <c r="E82" s="4">
        <v>2011</v>
      </c>
      <c r="F82" s="5" t="s">
        <v>80</v>
      </c>
    </row>
    <row r="83" spans="2:6" x14ac:dyDescent="0.4">
      <c r="B83" s="4">
        <v>80</v>
      </c>
      <c r="C83" s="26" t="s">
        <v>306</v>
      </c>
      <c r="D83" s="26" t="s">
        <v>307</v>
      </c>
      <c r="E83" s="4">
        <v>2011</v>
      </c>
      <c r="F83" s="5" t="s">
        <v>81</v>
      </c>
    </row>
    <row r="84" spans="2:6" x14ac:dyDescent="0.4">
      <c r="B84" s="4">
        <v>81</v>
      </c>
      <c r="C84" s="26" t="s">
        <v>327</v>
      </c>
      <c r="D84" s="26" t="s">
        <v>327</v>
      </c>
      <c r="E84" s="4">
        <v>2011</v>
      </c>
      <c r="F84" s="5" t="s">
        <v>82</v>
      </c>
    </row>
    <row r="85" spans="2:6" x14ac:dyDescent="0.4">
      <c r="B85" s="4">
        <v>82</v>
      </c>
      <c r="C85" s="26" t="s">
        <v>308</v>
      </c>
      <c r="D85" s="26" t="s">
        <v>309</v>
      </c>
      <c r="E85" s="4">
        <v>2011</v>
      </c>
      <c r="F85" s="5" t="s">
        <v>83</v>
      </c>
    </row>
    <row r="86" spans="2:6" x14ac:dyDescent="0.4">
      <c r="B86" s="4">
        <v>83</v>
      </c>
      <c r="C86" s="26" t="s">
        <v>308</v>
      </c>
      <c r="D86" s="26" t="s">
        <v>309</v>
      </c>
      <c r="E86" s="4">
        <v>2010</v>
      </c>
      <c r="F86" s="5" t="s">
        <v>84</v>
      </c>
    </row>
    <row r="87" spans="2:6" x14ac:dyDescent="0.4">
      <c r="B87" s="4">
        <v>84</v>
      </c>
      <c r="C87" s="26" t="s">
        <v>310</v>
      </c>
      <c r="D87" s="26" t="s">
        <v>311</v>
      </c>
      <c r="E87" s="4">
        <v>2009</v>
      </c>
      <c r="F87" s="5" t="s">
        <v>85</v>
      </c>
    </row>
    <row r="88" spans="2:6" x14ac:dyDescent="0.4">
      <c r="B88" s="4">
        <v>85</v>
      </c>
      <c r="C88" s="26" t="s">
        <v>296</v>
      </c>
      <c r="D88" s="26" t="s">
        <v>297</v>
      </c>
      <c r="E88" s="4">
        <v>2009</v>
      </c>
      <c r="F88" s="5" t="s">
        <v>86</v>
      </c>
    </row>
    <row r="89" spans="2:6" x14ac:dyDescent="0.4">
      <c r="B89" s="4">
        <v>86</v>
      </c>
      <c r="C89" s="26" t="s">
        <v>312</v>
      </c>
      <c r="D89" s="26" t="s">
        <v>326</v>
      </c>
      <c r="E89" s="4">
        <v>2001</v>
      </c>
      <c r="F89" s="5" t="s">
        <v>87</v>
      </c>
    </row>
    <row r="90" spans="2:6" x14ac:dyDescent="0.4">
      <c r="B90" s="4">
        <v>87</v>
      </c>
      <c r="C90" s="26" t="s">
        <v>312</v>
      </c>
      <c r="D90" s="26" t="s">
        <v>326</v>
      </c>
      <c r="E90" s="4">
        <v>2000</v>
      </c>
      <c r="F90" s="5" t="s">
        <v>88</v>
      </c>
    </row>
    <row r="91" spans="2:6" x14ac:dyDescent="0.4">
      <c r="B91" s="4">
        <v>88</v>
      </c>
      <c r="C91" s="26" t="s">
        <v>312</v>
      </c>
      <c r="D91" s="26" t="s">
        <v>326</v>
      </c>
      <c r="E91" s="4">
        <v>1998</v>
      </c>
      <c r="F91" s="5" t="s">
        <v>89</v>
      </c>
    </row>
  </sheetData>
  <mergeCells count="4">
    <mergeCell ref="E2:E3"/>
    <mergeCell ref="F2:F3"/>
    <mergeCell ref="B2:B3"/>
    <mergeCell ref="C2:D2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6898-6237-4511-96F6-2B58534EFD4A}">
  <dimension ref="B2:Q93"/>
  <sheetViews>
    <sheetView topLeftCell="A55" workbookViewId="0">
      <selection activeCell="F35" sqref="F35"/>
    </sheetView>
  </sheetViews>
  <sheetFormatPr defaultColWidth="9" defaultRowHeight="12.75" x14ac:dyDescent="0.4"/>
  <cols>
    <col min="1" max="1" width="9" style="4"/>
    <col min="2" max="2" width="10.625" style="4" customWidth="1"/>
    <col min="3" max="3" width="14" style="4" customWidth="1"/>
    <col min="4" max="4" width="11.25" style="4" customWidth="1"/>
    <col min="5" max="5" width="15.625" style="4" customWidth="1"/>
    <col min="6" max="16" width="12.625" style="4" customWidth="1"/>
    <col min="17" max="17" width="18" style="4" customWidth="1"/>
    <col min="18" max="16384" width="9" style="4"/>
  </cols>
  <sheetData>
    <row r="2" spans="2:17" ht="18.75" customHeight="1" x14ac:dyDescent="0.4">
      <c r="B2" s="29" t="s">
        <v>117</v>
      </c>
      <c r="C2" s="34" t="s">
        <v>314</v>
      </c>
      <c r="D2" s="30" t="s">
        <v>90</v>
      </c>
      <c r="E2" s="29" t="s">
        <v>126</v>
      </c>
      <c r="F2" s="31" t="s">
        <v>115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29" t="s">
        <v>125</v>
      </c>
    </row>
    <row r="3" spans="2:17" ht="25.5" x14ac:dyDescent="0.4">
      <c r="B3" s="29"/>
      <c r="C3" s="35"/>
      <c r="D3" s="30"/>
      <c r="E3" s="29"/>
      <c r="F3" s="9" t="s">
        <v>92</v>
      </c>
      <c r="G3" s="10" t="s">
        <v>93</v>
      </c>
      <c r="H3" s="10" t="s">
        <v>94</v>
      </c>
      <c r="I3" s="10" t="s">
        <v>95</v>
      </c>
      <c r="J3" s="10" t="s">
        <v>96</v>
      </c>
      <c r="K3" s="10" t="s">
        <v>97</v>
      </c>
      <c r="L3" s="10" t="s">
        <v>98</v>
      </c>
      <c r="M3" s="10" t="s">
        <v>99</v>
      </c>
      <c r="N3" s="10" t="s">
        <v>100</v>
      </c>
      <c r="O3" s="9" t="s">
        <v>101</v>
      </c>
      <c r="P3" s="9" t="s">
        <v>116</v>
      </c>
      <c r="Q3" s="29"/>
    </row>
    <row r="4" spans="2:17" s="6" customFormat="1" x14ac:dyDescent="0.4">
      <c r="B4" s="6">
        <v>1</v>
      </c>
      <c r="C4" s="26" t="s">
        <v>188</v>
      </c>
      <c r="D4" s="6">
        <v>2050</v>
      </c>
      <c r="E4" s="6" t="s">
        <v>107</v>
      </c>
      <c r="F4" s="7">
        <v>1</v>
      </c>
      <c r="G4" s="6">
        <v>1</v>
      </c>
      <c r="J4" s="6">
        <v>1</v>
      </c>
      <c r="K4" s="6">
        <v>1</v>
      </c>
      <c r="L4" s="6">
        <v>1</v>
      </c>
      <c r="M4" s="6">
        <v>1</v>
      </c>
      <c r="O4" s="7"/>
      <c r="P4" s="7"/>
      <c r="Q4" s="7"/>
    </row>
    <row r="5" spans="2:17" s="6" customFormat="1" x14ac:dyDescent="0.4">
      <c r="B5" s="6">
        <v>2</v>
      </c>
      <c r="C5" s="26" t="s">
        <v>190</v>
      </c>
      <c r="D5" s="6">
        <v>2110</v>
      </c>
      <c r="E5" s="6" t="s">
        <v>107</v>
      </c>
      <c r="F5" s="7"/>
      <c r="H5" s="6">
        <v>1</v>
      </c>
      <c r="O5" s="7">
        <v>1</v>
      </c>
      <c r="P5" s="7"/>
      <c r="Q5" s="7"/>
    </row>
    <row r="6" spans="2:17" s="6" customFormat="1" x14ac:dyDescent="0.4">
      <c r="B6" s="6">
        <v>3</v>
      </c>
      <c r="C6" s="26" t="s">
        <v>192</v>
      </c>
      <c r="D6" s="6">
        <v>2050</v>
      </c>
      <c r="E6" s="6" t="s">
        <v>108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/>
      <c r="P6" s="7"/>
      <c r="Q6" s="7"/>
    </row>
    <row r="7" spans="2:17" s="6" customFormat="1" x14ac:dyDescent="0.4">
      <c r="B7" s="6">
        <v>4</v>
      </c>
      <c r="C7" s="26" t="s">
        <v>194</v>
      </c>
      <c r="D7" s="6">
        <v>2050</v>
      </c>
      <c r="E7" s="6" t="s">
        <v>109</v>
      </c>
      <c r="F7" s="7"/>
      <c r="G7" s="7">
        <v>1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pans="2:17" s="6" customFormat="1" x14ac:dyDescent="0.4">
      <c r="B8" s="6">
        <v>5</v>
      </c>
      <c r="C8" s="26" t="s">
        <v>198</v>
      </c>
      <c r="D8" s="6">
        <v>2050</v>
      </c>
      <c r="E8" s="6" t="s">
        <v>108</v>
      </c>
      <c r="F8" s="7"/>
      <c r="G8" s="7"/>
      <c r="H8" s="7">
        <v>1</v>
      </c>
      <c r="I8" s="7"/>
      <c r="J8" s="7"/>
      <c r="K8" s="7"/>
      <c r="L8" s="7"/>
      <c r="M8" s="7"/>
      <c r="N8" s="7"/>
      <c r="O8" s="7"/>
      <c r="P8" s="7">
        <v>1</v>
      </c>
      <c r="Q8" s="7"/>
    </row>
    <row r="9" spans="2:17" s="6" customFormat="1" x14ac:dyDescent="0.4">
      <c r="B9" s="6">
        <v>6</v>
      </c>
      <c r="C9" s="26" t="s">
        <v>200</v>
      </c>
      <c r="D9" s="6">
        <v>2050</v>
      </c>
      <c r="E9" s="6" t="s">
        <v>110</v>
      </c>
      <c r="F9" s="7"/>
      <c r="G9" s="7">
        <v>1</v>
      </c>
      <c r="O9" s="7"/>
      <c r="P9" s="7"/>
      <c r="Q9" s="7"/>
    </row>
    <row r="10" spans="2:17" s="6" customFormat="1" x14ac:dyDescent="0.4">
      <c r="B10" s="6">
        <v>7</v>
      </c>
      <c r="C10" s="26" t="s">
        <v>174</v>
      </c>
      <c r="D10" s="6">
        <v>2030</v>
      </c>
      <c r="E10" s="6" t="s">
        <v>107</v>
      </c>
      <c r="F10" s="7"/>
      <c r="G10" s="7"/>
      <c r="H10" s="6">
        <v>1</v>
      </c>
      <c r="I10" s="6">
        <v>1</v>
      </c>
      <c r="O10" s="7"/>
      <c r="P10" s="7"/>
      <c r="Q10" s="7"/>
    </row>
    <row r="11" spans="2:17" s="6" customFormat="1" x14ac:dyDescent="0.4">
      <c r="B11" s="6">
        <v>8</v>
      </c>
      <c r="C11" s="26" t="s">
        <v>203</v>
      </c>
      <c r="D11" s="6">
        <v>2050</v>
      </c>
      <c r="E11" s="6" t="s">
        <v>108</v>
      </c>
      <c r="F11" s="7">
        <v>1</v>
      </c>
      <c r="G11" s="7">
        <v>1</v>
      </c>
      <c r="J11" s="6">
        <v>1</v>
      </c>
      <c r="L11" s="6">
        <v>1</v>
      </c>
      <c r="M11" s="6">
        <v>1</v>
      </c>
      <c r="O11" s="7">
        <v>1</v>
      </c>
      <c r="P11" s="7"/>
      <c r="Q11" s="7"/>
    </row>
    <row r="12" spans="2:17" s="6" customFormat="1" x14ac:dyDescent="0.4">
      <c r="B12" s="6">
        <v>9</v>
      </c>
      <c r="C12" s="26" t="s">
        <v>205</v>
      </c>
      <c r="D12" s="6">
        <v>2050</v>
      </c>
      <c r="E12" s="6" t="s">
        <v>111</v>
      </c>
      <c r="F12" s="7">
        <v>1</v>
      </c>
      <c r="G12" s="7">
        <v>1</v>
      </c>
      <c r="K12" s="6">
        <v>1</v>
      </c>
      <c r="O12" s="7"/>
      <c r="P12" s="7"/>
      <c r="Q12" s="7"/>
    </row>
    <row r="13" spans="2:17" s="6" customFormat="1" x14ac:dyDescent="0.4">
      <c r="B13" s="6">
        <v>10</v>
      </c>
      <c r="C13" s="26" t="s">
        <v>207</v>
      </c>
      <c r="D13" s="6">
        <v>2050</v>
      </c>
      <c r="E13" s="6" t="s">
        <v>107</v>
      </c>
      <c r="F13" s="7"/>
      <c r="G13" s="7"/>
      <c r="H13" s="6">
        <v>1</v>
      </c>
      <c r="O13" s="7">
        <v>1</v>
      </c>
      <c r="P13" s="7">
        <v>1</v>
      </c>
    </row>
    <row r="14" spans="2:17" s="6" customFormat="1" x14ac:dyDescent="0.4">
      <c r="B14" s="6">
        <v>11</v>
      </c>
      <c r="C14" s="26" t="s">
        <v>209</v>
      </c>
      <c r="D14" s="6">
        <v>2050</v>
      </c>
      <c r="E14" s="6" t="s">
        <v>108</v>
      </c>
      <c r="F14" s="7">
        <v>1</v>
      </c>
      <c r="G14" s="7">
        <v>1</v>
      </c>
      <c r="H14" s="7">
        <v>1</v>
      </c>
      <c r="I14" s="7">
        <v>1</v>
      </c>
      <c r="K14" s="7">
        <v>1</v>
      </c>
      <c r="L14" s="7">
        <v>1</v>
      </c>
      <c r="M14" s="7">
        <v>1</v>
      </c>
      <c r="N14" s="7">
        <v>1</v>
      </c>
      <c r="O14" s="7"/>
      <c r="P14" s="7"/>
      <c r="Q14" s="7"/>
    </row>
    <row r="15" spans="2:17" s="6" customFormat="1" x14ac:dyDescent="0.4">
      <c r="B15" s="6">
        <v>12</v>
      </c>
      <c r="C15" s="26" t="s">
        <v>211</v>
      </c>
      <c r="D15" s="6">
        <v>2050</v>
      </c>
      <c r="E15" s="6" t="s">
        <v>108</v>
      </c>
      <c r="F15" s="7">
        <v>1</v>
      </c>
      <c r="G15" s="7">
        <v>1</v>
      </c>
      <c r="H15" s="7">
        <v>1</v>
      </c>
      <c r="I15" s="7"/>
      <c r="J15" s="7">
        <v>1</v>
      </c>
      <c r="K15" s="7">
        <v>1</v>
      </c>
      <c r="L15" s="7">
        <v>1</v>
      </c>
      <c r="M15" s="7"/>
      <c r="N15" s="7"/>
      <c r="O15" s="7"/>
      <c r="P15" s="7">
        <v>1</v>
      </c>
      <c r="Q15" s="7"/>
    </row>
    <row r="16" spans="2:17" s="6" customFormat="1" x14ac:dyDescent="0.4">
      <c r="B16" s="6">
        <v>13</v>
      </c>
      <c r="C16" s="26" t="s">
        <v>211</v>
      </c>
      <c r="D16" s="6">
        <v>2050</v>
      </c>
      <c r="E16" s="6" t="s">
        <v>108</v>
      </c>
      <c r="F16" s="7">
        <v>1</v>
      </c>
      <c r="G16" s="7">
        <v>1</v>
      </c>
      <c r="H16" s="7">
        <v>1</v>
      </c>
      <c r="I16" s="7"/>
      <c r="J16" s="7">
        <v>1</v>
      </c>
      <c r="K16" s="7"/>
      <c r="L16" s="7"/>
      <c r="M16" s="7"/>
      <c r="N16" s="7"/>
      <c r="O16" s="7"/>
      <c r="P16" s="7">
        <v>1</v>
      </c>
    </row>
    <row r="17" spans="2:17" s="6" customFormat="1" x14ac:dyDescent="0.4">
      <c r="B17" s="6">
        <v>14</v>
      </c>
      <c r="C17" s="26" t="s">
        <v>213</v>
      </c>
      <c r="D17" s="6">
        <v>2060</v>
      </c>
      <c r="E17" s="6" t="s">
        <v>108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/>
      <c r="L17" s="7"/>
      <c r="M17" s="7"/>
      <c r="N17" s="7"/>
      <c r="O17" s="7"/>
      <c r="P17" s="7"/>
    </row>
    <row r="18" spans="2:17" s="6" customFormat="1" x14ac:dyDescent="0.4">
      <c r="B18" s="6">
        <v>15</v>
      </c>
      <c r="C18" s="26" t="s">
        <v>174</v>
      </c>
      <c r="D18" s="6">
        <v>2050</v>
      </c>
      <c r="E18" s="6" t="s">
        <v>108</v>
      </c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>
        <v>1</v>
      </c>
    </row>
    <row r="19" spans="2:17" s="6" customFormat="1" x14ac:dyDescent="0.4">
      <c r="B19" s="6">
        <v>16</v>
      </c>
      <c r="C19" s="26" t="s">
        <v>192</v>
      </c>
      <c r="D19" s="6">
        <v>2060</v>
      </c>
      <c r="E19" s="6" t="s">
        <v>108</v>
      </c>
      <c r="F19" s="7">
        <v>1</v>
      </c>
      <c r="G19" s="7">
        <v>1</v>
      </c>
      <c r="H19" s="7">
        <v>1</v>
      </c>
      <c r="I19" s="7">
        <v>1</v>
      </c>
      <c r="J19" s="7"/>
      <c r="K19" s="7"/>
      <c r="L19" s="7"/>
      <c r="M19" s="7"/>
      <c r="N19" s="7"/>
      <c r="O19" s="7"/>
      <c r="P19" s="7">
        <v>1</v>
      </c>
    </row>
    <row r="20" spans="2:17" s="6" customFormat="1" x14ac:dyDescent="0.4">
      <c r="B20" s="6">
        <v>17</v>
      </c>
      <c r="C20" s="26" t="s">
        <v>216</v>
      </c>
      <c r="D20" s="6">
        <v>2030</v>
      </c>
      <c r="E20" s="6" t="s">
        <v>110</v>
      </c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>
        <v>1</v>
      </c>
    </row>
    <row r="21" spans="2:17" s="6" customFormat="1" x14ac:dyDescent="0.4">
      <c r="B21" s="6">
        <v>18</v>
      </c>
      <c r="C21" s="26" t="s">
        <v>218</v>
      </c>
      <c r="D21" s="6">
        <v>2050</v>
      </c>
      <c r="E21" s="6" t="s">
        <v>108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/>
      <c r="M21" s="7">
        <v>1</v>
      </c>
      <c r="N21" s="7">
        <v>1</v>
      </c>
      <c r="O21" s="7"/>
      <c r="P21" s="7">
        <v>1</v>
      </c>
    </row>
    <row r="22" spans="2:17" s="6" customFormat="1" x14ac:dyDescent="0.4">
      <c r="B22" s="6">
        <v>19</v>
      </c>
      <c r="C22" s="26" t="s">
        <v>220</v>
      </c>
      <c r="D22" s="6">
        <v>2050</v>
      </c>
      <c r="E22" s="6" t="s">
        <v>108</v>
      </c>
      <c r="F22" s="7"/>
      <c r="G22" s="7"/>
      <c r="H22" s="7">
        <v>1</v>
      </c>
      <c r="I22" s="7"/>
      <c r="J22" s="7"/>
      <c r="K22" s="7"/>
      <c r="L22" s="7"/>
      <c r="M22" s="7"/>
      <c r="N22" s="7"/>
      <c r="O22" s="7"/>
      <c r="P22" s="7">
        <v>1</v>
      </c>
    </row>
    <row r="23" spans="2:17" s="6" customFormat="1" x14ac:dyDescent="0.4">
      <c r="B23" s="6">
        <v>20</v>
      </c>
      <c r="C23" s="26" t="s">
        <v>222</v>
      </c>
      <c r="D23" s="6">
        <v>2050</v>
      </c>
      <c r="E23" s="6" t="s">
        <v>108</v>
      </c>
      <c r="F23" s="7">
        <v>1</v>
      </c>
      <c r="G23" s="7">
        <v>1</v>
      </c>
      <c r="H23" s="7">
        <v>1</v>
      </c>
      <c r="I23" s="7">
        <v>1</v>
      </c>
      <c r="J23" s="7"/>
      <c r="K23" s="7">
        <v>1</v>
      </c>
      <c r="L23" s="7"/>
      <c r="M23" s="7"/>
      <c r="N23" s="7">
        <v>1</v>
      </c>
      <c r="O23" s="7"/>
      <c r="P23" s="7">
        <v>1</v>
      </c>
    </row>
    <row r="24" spans="2:17" s="6" customFormat="1" x14ac:dyDescent="0.4">
      <c r="B24" s="6">
        <v>21</v>
      </c>
      <c r="C24" s="26" t="s">
        <v>200</v>
      </c>
      <c r="D24" s="6">
        <v>2050</v>
      </c>
      <c r="E24" s="6" t="s">
        <v>110</v>
      </c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</row>
    <row r="25" spans="2:17" s="6" customFormat="1" x14ac:dyDescent="0.4">
      <c r="B25" s="6">
        <v>22</v>
      </c>
      <c r="C25" s="26" t="s">
        <v>315</v>
      </c>
      <c r="D25" s="6">
        <v>2100</v>
      </c>
      <c r="E25" s="6" t="s">
        <v>108</v>
      </c>
      <c r="F25" s="7">
        <v>1</v>
      </c>
      <c r="G25" s="7">
        <v>1</v>
      </c>
      <c r="H25" s="7">
        <v>1</v>
      </c>
      <c r="I25" s="7"/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</row>
    <row r="26" spans="2:17" s="6" customFormat="1" x14ac:dyDescent="0.4">
      <c r="B26" s="6">
        <v>23</v>
      </c>
      <c r="C26" s="26" t="s">
        <v>225</v>
      </c>
      <c r="D26" s="6">
        <v>2100</v>
      </c>
      <c r="E26" s="6" t="s">
        <v>108</v>
      </c>
      <c r="F26" s="7"/>
      <c r="G26" s="7"/>
      <c r="H26" s="7">
        <v>1</v>
      </c>
      <c r="I26" s="7">
        <v>1</v>
      </c>
      <c r="J26" s="7"/>
      <c r="K26" s="7"/>
      <c r="L26" s="7"/>
      <c r="M26" s="7"/>
      <c r="N26" s="7"/>
      <c r="O26" s="7"/>
      <c r="P26" s="7">
        <v>1</v>
      </c>
    </row>
    <row r="27" spans="2:17" s="6" customFormat="1" x14ac:dyDescent="0.4">
      <c r="B27" s="6">
        <v>24</v>
      </c>
      <c r="C27" s="26" t="s">
        <v>227</v>
      </c>
      <c r="D27" s="6">
        <v>2050</v>
      </c>
      <c r="E27" s="6" t="s">
        <v>108</v>
      </c>
      <c r="F27" s="7">
        <v>1</v>
      </c>
      <c r="G27" s="7"/>
      <c r="H27" s="7"/>
      <c r="I27" s="7"/>
      <c r="J27" s="7"/>
      <c r="K27" s="7"/>
      <c r="L27" s="7"/>
      <c r="M27" s="7"/>
      <c r="N27" s="7"/>
      <c r="O27" s="7"/>
      <c r="P27" s="7">
        <v>1</v>
      </c>
      <c r="Q27" s="6">
        <v>1</v>
      </c>
    </row>
    <row r="28" spans="2:17" s="6" customFormat="1" x14ac:dyDescent="0.4">
      <c r="B28" s="6">
        <v>25</v>
      </c>
      <c r="C28" s="26" t="s">
        <v>229</v>
      </c>
      <c r="D28" s="6">
        <v>2030</v>
      </c>
      <c r="E28" s="6" t="s">
        <v>108</v>
      </c>
      <c r="F28" s="7"/>
      <c r="G28" s="7">
        <v>1</v>
      </c>
      <c r="H28" s="7">
        <v>1</v>
      </c>
      <c r="I28" s="7"/>
      <c r="J28" s="7"/>
      <c r="K28" s="7"/>
      <c r="L28" s="7"/>
      <c r="M28" s="7"/>
      <c r="N28" s="7"/>
      <c r="O28" s="7"/>
      <c r="P28" s="7">
        <v>1</v>
      </c>
      <c r="Q28" s="7"/>
    </row>
    <row r="29" spans="2:17" s="6" customFormat="1" x14ac:dyDescent="0.4">
      <c r="B29" s="6">
        <v>26</v>
      </c>
      <c r="C29" s="26" t="s">
        <v>316</v>
      </c>
      <c r="D29" s="6">
        <v>2025</v>
      </c>
      <c r="E29" s="6" t="s">
        <v>108</v>
      </c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>
        <v>1</v>
      </c>
      <c r="Q29" s="7"/>
    </row>
    <row r="30" spans="2:17" s="6" customFormat="1" x14ac:dyDescent="0.4">
      <c r="B30" s="6">
        <v>27</v>
      </c>
      <c r="C30" s="26" t="s">
        <v>209</v>
      </c>
      <c r="D30" s="6">
        <v>2100</v>
      </c>
      <c r="E30" s="6" t="s">
        <v>108</v>
      </c>
      <c r="F30" s="7">
        <v>1</v>
      </c>
      <c r="G30" s="7">
        <v>1</v>
      </c>
      <c r="H30" s="7">
        <v>1</v>
      </c>
      <c r="I30" s="7"/>
      <c r="J30" s="7"/>
      <c r="K30" s="7">
        <v>1</v>
      </c>
      <c r="L30" s="7">
        <v>1</v>
      </c>
      <c r="M30" s="7">
        <v>1</v>
      </c>
      <c r="N30" s="7">
        <v>1</v>
      </c>
      <c r="O30" s="7"/>
      <c r="P30" s="7"/>
    </row>
    <row r="31" spans="2:17" s="6" customFormat="1" x14ac:dyDescent="0.4">
      <c r="B31" s="6">
        <v>28</v>
      </c>
      <c r="C31" s="26" t="s">
        <v>232</v>
      </c>
      <c r="D31" s="6">
        <v>2070</v>
      </c>
      <c r="E31" s="6" t="s">
        <v>108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2:17" s="6" customFormat="1" x14ac:dyDescent="0.4">
      <c r="B32" s="6">
        <v>29</v>
      </c>
      <c r="C32" s="26" t="s">
        <v>234</v>
      </c>
      <c r="D32" s="6">
        <v>2050</v>
      </c>
      <c r="E32" s="6" t="s">
        <v>108</v>
      </c>
      <c r="F32" s="7">
        <v>1</v>
      </c>
      <c r="G32" s="7">
        <v>1</v>
      </c>
      <c r="H32" s="7"/>
      <c r="I32" s="7"/>
      <c r="J32" s="7">
        <v>1</v>
      </c>
      <c r="K32" s="7">
        <v>1</v>
      </c>
      <c r="L32" s="7"/>
      <c r="M32" s="7"/>
      <c r="N32" s="7"/>
      <c r="O32" s="7"/>
      <c r="P32" s="7"/>
    </row>
    <row r="33" spans="2:17" s="6" customFormat="1" x14ac:dyDescent="0.4">
      <c r="B33" s="6">
        <v>30</v>
      </c>
      <c r="C33" s="26" t="s">
        <v>236</v>
      </c>
      <c r="D33" s="6">
        <v>2020</v>
      </c>
      <c r="E33" s="6" t="s">
        <v>108</v>
      </c>
      <c r="F33" s="7"/>
      <c r="G33" s="7"/>
      <c r="H33" s="7">
        <v>1</v>
      </c>
      <c r="I33" s="7"/>
      <c r="J33" s="7"/>
      <c r="K33" s="7"/>
      <c r="L33" s="7"/>
      <c r="M33" s="7"/>
      <c r="N33" s="7"/>
      <c r="O33" s="7"/>
      <c r="P33" s="7">
        <v>1</v>
      </c>
    </row>
    <row r="34" spans="2:17" s="6" customFormat="1" x14ac:dyDescent="0.4">
      <c r="B34" s="6">
        <v>31</v>
      </c>
      <c r="C34" s="26" t="s">
        <v>238</v>
      </c>
      <c r="D34" s="6">
        <v>2070</v>
      </c>
      <c r="E34" s="6" t="s">
        <v>108</v>
      </c>
      <c r="F34" s="7"/>
      <c r="G34" s="7"/>
      <c r="H34" s="7">
        <v>1</v>
      </c>
      <c r="I34" s="7">
        <v>1</v>
      </c>
      <c r="J34" s="7"/>
      <c r="K34" s="7"/>
      <c r="L34" s="7"/>
      <c r="M34" s="7"/>
      <c r="N34" s="7"/>
      <c r="O34" s="7"/>
      <c r="P34" s="7">
        <v>1</v>
      </c>
    </row>
    <row r="35" spans="2:17" s="6" customFormat="1" x14ac:dyDescent="0.4">
      <c r="B35" s="6">
        <v>32</v>
      </c>
      <c r="C35" s="26" t="s">
        <v>240</v>
      </c>
      <c r="D35" s="6">
        <v>2050</v>
      </c>
      <c r="E35" s="6" t="s">
        <v>112</v>
      </c>
      <c r="F35" s="7"/>
      <c r="G35" s="7"/>
      <c r="H35" s="7">
        <v>1</v>
      </c>
      <c r="I35" s="7">
        <v>1</v>
      </c>
      <c r="J35" s="7"/>
      <c r="K35" s="7"/>
      <c r="L35" s="7"/>
      <c r="M35" s="7"/>
      <c r="N35" s="7"/>
      <c r="O35" s="7">
        <v>1</v>
      </c>
      <c r="P35" s="7"/>
    </row>
    <row r="36" spans="2:17" s="6" customFormat="1" x14ac:dyDescent="0.4">
      <c r="B36" s="6">
        <v>33</v>
      </c>
      <c r="C36" s="26" t="s">
        <v>317</v>
      </c>
      <c r="D36" s="6">
        <v>2020</v>
      </c>
      <c r="E36" s="6" t="s">
        <v>108</v>
      </c>
      <c r="F36" s="7"/>
      <c r="G36" s="7"/>
      <c r="H36" s="7">
        <v>1</v>
      </c>
      <c r="I36" s="7"/>
      <c r="J36" s="7"/>
      <c r="K36" s="7"/>
      <c r="L36" s="7"/>
      <c r="M36" s="7"/>
      <c r="N36" s="7"/>
      <c r="O36" s="7"/>
      <c r="P36" s="7"/>
    </row>
    <row r="37" spans="2:17" s="6" customFormat="1" x14ac:dyDescent="0.4">
      <c r="B37" s="6">
        <v>34</v>
      </c>
      <c r="C37" s="26" t="s">
        <v>243</v>
      </c>
      <c r="D37" s="6">
        <v>2050</v>
      </c>
      <c r="E37" s="6" t="s">
        <v>108</v>
      </c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/>
    </row>
    <row r="38" spans="2:17" s="6" customFormat="1" x14ac:dyDescent="0.4">
      <c r="B38" s="6">
        <v>35</v>
      </c>
      <c r="C38" s="26" t="s">
        <v>245</v>
      </c>
      <c r="D38" s="6">
        <v>2250</v>
      </c>
      <c r="E38" s="6" t="s">
        <v>108</v>
      </c>
      <c r="F38" s="7"/>
      <c r="G38" s="7"/>
      <c r="H38" s="7">
        <v>1</v>
      </c>
      <c r="I38" s="7"/>
      <c r="J38" s="7"/>
      <c r="K38" s="7"/>
      <c r="L38" s="7"/>
      <c r="M38" s="7"/>
      <c r="N38" s="7"/>
      <c r="O38" s="7"/>
      <c r="P38" s="7">
        <v>1</v>
      </c>
      <c r="Q38" s="7"/>
    </row>
    <row r="39" spans="2:17" s="6" customFormat="1" x14ac:dyDescent="0.4">
      <c r="B39" s="6">
        <v>36</v>
      </c>
      <c r="C39" s="26" t="s">
        <v>247</v>
      </c>
      <c r="D39" s="6">
        <v>2030</v>
      </c>
      <c r="E39" s="6" t="s">
        <v>108</v>
      </c>
      <c r="F39" s="7"/>
      <c r="G39" s="7"/>
      <c r="H39" s="7">
        <v>1</v>
      </c>
      <c r="I39" s="7">
        <v>1</v>
      </c>
      <c r="J39" s="7"/>
      <c r="K39" s="7"/>
      <c r="L39" s="7"/>
      <c r="M39" s="7"/>
      <c r="N39" s="7"/>
      <c r="O39" s="7"/>
      <c r="P39" s="7"/>
    </row>
    <row r="40" spans="2:17" s="6" customFormat="1" x14ac:dyDescent="0.4">
      <c r="B40" s="6">
        <v>37</v>
      </c>
      <c r="C40" s="26" t="s">
        <v>318</v>
      </c>
      <c r="D40" s="6">
        <v>2040</v>
      </c>
      <c r="E40" s="6" t="s">
        <v>110</v>
      </c>
      <c r="F40" s="7">
        <v>1</v>
      </c>
      <c r="G40" s="7">
        <v>1</v>
      </c>
      <c r="H40" s="7"/>
      <c r="I40" s="7"/>
      <c r="J40" s="7"/>
      <c r="K40" s="7"/>
      <c r="L40" s="7"/>
      <c r="M40" s="7"/>
      <c r="N40" s="7"/>
      <c r="O40" s="7"/>
      <c r="P40" s="7"/>
    </row>
    <row r="41" spans="2:17" s="6" customFormat="1" x14ac:dyDescent="0.4">
      <c r="B41" s="6">
        <v>38</v>
      </c>
      <c r="C41" s="26" t="s">
        <v>227</v>
      </c>
      <c r="D41" s="6">
        <v>2050</v>
      </c>
      <c r="E41" s="6" t="s">
        <v>108</v>
      </c>
      <c r="F41" s="7">
        <v>1</v>
      </c>
      <c r="G41" s="7"/>
      <c r="H41" s="7"/>
      <c r="I41" s="7"/>
      <c r="J41" s="7"/>
      <c r="K41" s="7"/>
      <c r="L41" s="7"/>
      <c r="M41" s="7"/>
      <c r="N41" s="7"/>
      <c r="O41" s="7"/>
      <c r="P41" s="6">
        <v>1</v>
      </c>
      <c r="Q41" s="6">
        <v>1</v>
      </c>
    </row>
    <row r="42" spans="2:17" s="6" customFormat="1" x14ac:dyDescent="0.4">
      <c r="B42" s="6">
        <v>39</v>
      </c>
      <c r="C42" s="26" t="s">
        <v>319</v>
      </c>
      <c r="D42" s="6">
        <v>2050</v>
      </c>
      <c r="E42" s="6" t="s">
        <v>108</v>
      </c>
      <c r="F42" s="7">
        <v>1</v>
      </c>
      <c r="G42" s="7">
        <v>1</v>
      </c>
      <c r="H42" s="7">
        <v>1</v>
      </c>
      <c r="I42" s="7"/>
      <c r="J42" s="7"/>
      <c r="K42" s="7"/>
      <c r="L42" s="7"/>
      <c r="M42" s="7"/>
      <c r="N42" s="7"/>
      <c r="O42" s="7"/>
      <c r="P42" s="7">
        <v>1</v>
      </c>
      <c r="Q42" s="6">
        <v>1</v>
      </c>
    </row>
    <row r="43" spans="2:17" s="6" customFormat="1" x14ac:dyDescent="0.4">
      <c r="B43" s="6">
        <v>40</v>
      </c>
      <c r="C43" s="26" t="s">
        <v>251</v>
      </c>
      <c r="D43" s="6">
        <v>2030</v>
      </c>
      <c r="E43" s="6" t="s">
        <v>108</v>
      </c>
      <c r="F43" s="7"/>
      <c r="G43" s="7">
        <v>1</v>
      </c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</row>
    <row r="44" spans="2:17" s="6" customFormat="1" x14ac:dyDescent="0.4">
      <c r="B44" s="6">
        <v>41</v>
      </c>
      <c r="C44" s="26" t="s">
        <v>320</v>
      </c>
      <c r="D44" s="6">
        <v>2050</v>
      </c>
      <c r="E44" s="6" t="s">
        <v>108</v>
      </c>
      <c r="F44" s="7">
        <v>1</v>
      </c>
      <c r="G44" s="7">
        <v>1</v>
      </c>
      <c r="H44" s="7"/>
      <c r="I44" s="7">
        <v>1</v>
      </c>
      <c r="J44" s="7"/>
      <c r="K44" s="7"/>
      <c r="L44" s="7"/>
      <c r="M44" s="7"/>
      <c r="N44" s="7"/>
      <c r="O44" s="7">
        <v>1</v>
      </c>
      <c r="P44" s="7"/>
    </row>
    <row r="45" spans="2:17" s="6" customFormat="1" x14ac:dyDescent="0.4">
      <c r="B45" s="6">
        <v>42</v>
      </c>
      <c r="C45" s="26" t="s">
        <v>254</v>
      </c>
      <c r="D45" s="6">
        <v>2050</v>
      </c>
      <c r="E45" s="6" t="s">
        <v>108</v>
      </c>
      <c r="F45" s="7">
        <v>1</v>
      </c>
      <c r="G45" s="7">
        <v>1</v>
      </c>
      <c r="H45" s="7">
        <v>1</v>
      </c>
      <c r="I45" s="7">
        <v>1</v>
      </c>
      <c r="J45" s="7"/>
      <c r="K45" s="7"/>
      <c r="L45" s="7"/>
      <c r="M45" s="7"/>
      <c r="N45" s="7"/>
      <c r="O45" s="7"/>
      <c r="P45" s="7">
        <v>1</v>
      </c>
    </row>
    <row r="46" spans="2:17" s="6" customFormat="1" x14ac:dyDescent="0.4">
      <c r="B46" s="6">
        <v>43</v>
      </c>
      <c r="C46" s="26" t="s">
        <v>256</v>
      </c>
      <c r="D46" s="6">
        <v>2020</v>
      </c>
      <c r="E46" s="6" t="s">
        <v>113</v>
      </c>
      <c r="F46" s="7"/>
      <c r="G46" s="7">
        <v>1</v>
      </c>
      <c r="H46" s="7">
        <v>1</v>
      </c>
      <c r="I46" s="7"/>
      <c r="J46" s="7"/>
      <c r="K46" s="7"/>
      <c r="L46" s="7"/>
      <c r="M46" s="7"/>
      <c r="N46" s="7"/>
      <c r="O46" s="7"/>
      <c r="P46" s="7">
        <v>1</v>
      </c>
    </row>
    <row r="47" spans="2:17" s="6" customFormat="1" x14ac:dyDescent="0.4">
      <c r="B47" s="6">
        <v>44</v>
      </c>
      <c r="C47" s="26" t="s">
        <v>231</v>
      </c>
      <c r="D47" s="6">
        <v>2030</v>
      </c>
      <c r="E47" s="6" t="s">
        <v>113</v>
      </c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</row>
    <row r="48" spans="2:17" s="6" customFormat="1" x14ac:dyDescent="0.4">
      <c r="B48" s="6">
        <v>45</v>
      </c>
      <c r="C48" s="26" t="s">
        <v>188</v>
      </c>
      <c r="D48" s="6">
        <v>2050</v>
      </c>
      <c r="E48" s="6" t="s">
        <v>108</v>
      </c>
      <c r="F48" s="7">
        <v>1</v>
      </c>
      <c r="G48" s="7"/>
      <c r="H48" s="7"/>
      <c r="I48" s="7"/>
      <c r="J48" s="7"/>
      <c r="K48" s="7"/>
      <c r="L48" s="7"/>
      <c r="M48" s="7"/>
      <c r="N48" s="7"/>
      <c r="O48" s="7"/>
      <c r="P48" s="7">
        <v>1</v>
      </c>
      <c r="Q48" s="6">
        <v>1</v>
      </c>
    </row>
    <row r="49" spans="2:17" s="6" customFormat="1" x14ac:dyDescent="0.4">
      <c r="B49" s="6">
        <v>46</v>
      </c>
      <c r="C49" s="26" t="s">
        <v>259</v>
      </c>
      <c r="D49" s="6">
        <v>2030</v>
      </c>
      <c r="E49" s="6" t="s">
        <v>108</v>
      </c>
      <c r="F49" s="7">
        <v>1</v>
      </c>
      <c r="Q49" s="7"/>
    </row>
    <row r="50" spans="2:17" s="6" customFormat="1" x14ac:dyDescent="0.4">
      <c r="B50" s="6">
        <v>47</v>
      </c>
      <c r="C50" s="26" t="s">
        <v>261</v>
      </c>
      <c r="D50" s="6">
        <v>2020</v>
      </c>
      <c r="E50" s="6" t="s">
        <v>113</v>
      </c>
      <c r="F50" s="7"/>
      <c r="G50" s="7">
        <v>1</v>
      </c>
      <c r="Q50" s="7"/>
    </row>
    <row r="51" spans="2:17" s="6" customFormat="1" x14ac:dyDescent="0.4">
      <c r="B51" s="6">
        <v>48</v>
      </c>
      <c r="C51" s="26" t="s">
        <v>263</v>
      </c>
      <c r="D51" s="6">
        <v>2050</v>
      </c>
      <c r="E51" s="6" t="s">
        <v>109</v>
      </c>
      <c r="F51" s="7">
        <v>1</v>
      </c>
      <c r="G51" s="7">
        <v>1</v>
      </c>
      <c r="I51" s="6">
        <v>1</v>
      </c>
      <c r="J51" s="7"/>
      <c r="K51" s="7"/>
      <c r="L51" s="7"/>
      <c r="M51" s="7"/>
      <c r="N51" s="7"/>
      <c r="O51" s="7">
        <v>1</v>
      </c>
      <c r="Q51" s="7"/>
    </row>
    <row r="52" spans="2:17" s="6" customFormat="1" x14ac:dyDescent="0.4">
      <c r="B52" s="6">
        <v>49</v>
      </c>
      <c r="C52" s="26" t="s">
        <v>188</v>
      </c>
      <c r="D52" s="6">
        <v>2050</v>
      </c>
      <c r="E52" s="6" t="s">
        <v>108</v>
      </c>
      <c r="F52" s="7"/>
      <c r="G52" s="7">
        <v>1</v>
      </c>
      <c r="H52" s="7"/>
      <c r="J52" s="7"/>
      <c r="K52" s="7"/>
      <c r="L52" s="7"/>
      <c r="M52" s="7"/>
      <c r="N52" s="7"/>
      <c r="P52" s="6">
        <v>1</v>
      </c>
      <c r="Q52" s="6">
        <v>1</v>
      </c>
    </row>
    <row r="53" spans="2:17" s="6" customFormat="1" x14ac:dyDescent="0.4">
      <c r="B53" s="6">
        <v>50</v>
      </c>
      <c r="C53" s="26" t="s">
        <v>232</v>
      </c>
      <c r="D53" s="6">
        <v>2050</v>
      </c>
      <c r="E53" s="6" t="s">
        <v>108</v>
      </c>
      <c r="F53" s="7"/>
      <c r="G53" s="7">
        <v>1</v>
      </c>
      <c r="H53" s="7"/>
      <c r="J53" s="7"/>
      <c r="K53" s="7"/>
      <c r="L53" s="7"/>
      <c r="M53" s="7"/>
      <c r="N53" s="7"/>
    </row>
    <row r="54" spans="2:17" s="6" customFormat="1" x14ac:dyDescent="0.4">
      <c r="B54" s="6">
        <v>51</v>
      </c>
      <c r="C54" s="26" t="s">
        <v>265</v>
      </c>
      <c r="D54" s="6">
        <v>2050</v>
      </c>
      <c r="E54" s="6" t="s">
        <v>108</v>
      </c>
      <c r="F54" s="7">
        <v>1</v>
      </c>
      <c r="P54" s="6">
        <v>1</v>
      </c>
    </row>
    <row r="55" spans="2:17" s="6" customFormat="1" x14ac:dyDescent="0.4">
      <c r="B55" s="6">
        <v>52</v>
      </c>
      <c r="C55" s="26" t="s">
        <v>267</v>
      </c>
      <c r="D55" s="6">
        <v>2040</v>
      </c>
      <c r="E55" s="6" t="s">
        <v>110</v>
      </c>
      <c r="F55" s="7"/>
      <c r="H55" s="7">
        <v>1</v>
      </c>
    </row>
    <row r="56" spans="2:17" s="6" customFormat="1" x14ac:dyDescent="0.4">
      <c r="B56" s="6">
        <v>53</v>
      </c>
      <c r="C56" s="26" t="s">
        <v>240</v>
      </c>
      <c r="D56" s="6">
        <v>2050</v>
      </c>
      <c r="E56" s="6" t="s">
        <v>112</v>
      </c>
      <c r="F56" s="7"/>
      <c r="H56" s="7">
        <v>1</v>
      </c>
      <c r="I56" s="7">
        <v>1</v>
      </c>
    </row>
    <row r="57" spans="2:17" s="6" customFormat="1" x14ac:dyDescent="0.4">
      <c r="B57" s="6">
        <v>54</v>
      </c>
      <c r="C57" s="26" t="s">
        <v>321</v>
      </c>
      <c r="D57" s="6">
        <v>2060</v>
      </c>
      <c r="E57" s="6" t="s">
        <v>108</v>
      </c>
      <c r="F57" s="7">
        <v>1</v>
      </c>
      <c r="H57" s="7"/>
      <c r="I57" s="7"/>
      <c r="Q57" s="7">
        <v>1</v>
      </c>
    </row>
    <row r="58" spans="2:17" s="6" customFormat="1" x14ac:dyDescent="0.4">
      <c r="B58" s="6">
        <v>55</v>
      </c>
      <c r="C58" s="26" t="s">
        <v>270</v>
      </c>
      <c r="D58" s="6">
        <v>2050</v>
      </c>
      <c r="E58" s="6" t="s">
        <v>108</v>
      </c>
      <c r="F58" s="7"/>
      <c r="G58" s="7">
        <v>1</v>
      </c>
      <c r="H58" s="7">
        <v>1</v>
      </c>
      <c r="I58" s="7"/>
      <c r="P58" s="6">
        <v>1</v>
      </c>
      <c r="Q58" s="7"/>
    </row>
    <row r="59" spans="2:17" s="6" customFormat="1" x14ac:dyDescent="0.4">
      <c r="B59" s="6">
        <v>56</v>
      </c>
      <c r="C59" s="26" t="s">
        <v>272</v>
      </c>
      <c r="D59" s="6">
        <v>2050</v>
      </c>
      <c r="E59" s="6" t="s">
        <v>108</v>
      </c>
      <c r="F59" s="7"/>
      <c r="G59" s="7"/>
      <c r="H59" s="7">
        <v>1</v>
      </c>
      <c r="I59" s="7"/>
      <c r="Q59" s="7"/>
    </row>
    <row r="60" spans="2:17" s="6" customFormat="1" x14ac:dyDescent="0.4">
      <c r="B60" s="6">
        <v>57</v>
      </c>
      <c r="C60" s="26" t="s">
        <v>274</v>
      </c>
      <c r="D60" s="6">
        <v>2050</v>
      </c>
      <c r="E60" s="6" t="s">
        <v>112</v>
      </c>
      <c r="F60" s="7"/>
      <c r="G60" s="7">
        <v>1</v>
      </c>
      <c r="H60" s="7">
        <v>1</v>
      </c>
      <c r="I60" s="7"/>
      <c r="P60" s="6">
        <v>1</v>
      </c>
      <c r="Q60" s="7"/>
    </row>
    <row r="61" spans="2:17" s="6" customFormat="1" x14ac:dyDescent="0.4">
      <c r="B61" s="6">
        <v>58</v>
      </c>
      <c r="C61" s="26" t="s">
        <v>276</v>
      </c>
      <c r="D61" s="6">
        <v>2050</v>
      </c>
      <c r="E61" s="6" t="s">
        <v>108</v>
      </c>
      <c r="F61" s="7">
        <v>1</v>
      </c>
      <c r="G61" s="7"/>
      <c r="H61" s="7"/>
      <c r="I61" s="7"/>
      <c r="Q61" s="7">
        <v>1</v>
      </c>
    </row>
    <row r="62" spans="2:17" s="6" customFormat="1" x14ac:dyDescent="0.4">
      <c r="B62" s="6">
        <v>59</v>
      </c>
      <c r="C62" s="26" t="s">
        <v>234</v>
      </c>
      <c r="D62" s="6">
        <v>2050</v>
      </c>
      <c r="E62" s="6" t="s">
        <v>108</v>
      </c>
      <c r="F62" s="7">
        <v>1</v>
      </c>
      <c r="G62" s="7">
        <v>1</v>
      </c>
      <c r="H62" s="7"/>
      <c r="I62" s="7"/>
      <c r="J62" s="7">
        <v>1</v>
      </c>
      <c r="K62" s="6">
        <v>1</v>
      </c>
    </row>
    <row r="63" spans="2:17" s="6" customFormat="1" x14ac:dyDescent="0.4">
      <c r="B63" s="6">
        <v>60</v>
      </c>
      <c r="C63" s="26" t="s">
        <v>188</v>
      </c>
      <c r="D63" s="6">
        <v>2050</v>
      </c>
      <c r="E63" s="6" t="s">
        <v>108</v>
      </c>
      <c r="F63" s="7">
        <v>1</v>
      </c>
      <c r="G63" s="7">
        <v>1</v>
      </c>
      <c r="J63" s="7">
        <v>1</v>
      </c>
      <c r="K63" s="7">
        <v>1</v>
      </c>
      <c r="L63" s="7">
        <v>1</v>
      </c>
      <c r="M63" s="7">
        <v>1</v>
      </c>
    </row>
    <row r="64" spans="2:17" s="6" customFormat="1" x14ac:dyDescent="0.4">
      <c r="B64" s="6">
        <v>61</v>
      </c>
      <c r="C64" s="26" t="s">
        <v>188</v>
      </c>
      <c r="D64" s="6">
        <v>2100</v>
      </c>
      <c r="E64" s="6" t="s">
        <v>108</v>
      </c>
      <c r="F64" s="7"/>
      <c r="G64" s="7"/>
      <c r="I64" s="6">
        <v>1</v>
      </c>
      <c r="J64" s="7"/>
      <c r="K64" s="7"/>
      <c r="L64" s="7"/>
      <c r="M64" s="7"/>
      <c r="P64" s="6">
        <v>1</v>
      </c>
    </row>
    <row r="65" spans="2:17" s="6" customFormat="1" x14ac:dyDescent="0.4">
      <c r="B65" s="6">
        <v>62</v>
      </c>
      <c r="C65" s="26" t="s">
        <v>278</v>
      </c>
      <c r="D65" s="6">
        <v>2050</v>
      </c>
      <c r="E65" s="6" t="s">
        <v>108</v>
      </c>
      <c r="F65" s="7">
        <v>1</v>
      </c>
      <c r="G65" s="7"/>
      <c r="J65" s="7"/>
      <c r="K65" s="7"/>
      <c r="L65" s="7"/>
      <c r="M65" s="7"/>
      <c r="Q65" s="7">
        <v>1</v>
      </c>
    </row>
    <row r="66" spans="2:17" s="6" customFormat="1" x14ac:dyDescent="0.4">
      <c r="B66" s="6">
        <v>63</v>
      </c>
      <c r="C66" s="26" t="s">
        <v>322</v>
      </c>
      <c r="D66" s="6">
        <v>2050</v>
      </c>
      <c r="E66" s="6" t="s">
        <v>113</v>
      </c>
      <c r="H66" s="7">
        <v>1</v>
      </c>
      <c r="Q66" s="7"/>
    </row>
    <row r="67" spans="2:17" s="6" customFormat="1" x14ac:dyDescent="0.4">
      <c r="B67" s="6">
        <v>64</v>
      </c>
      <c r="C67" s="26" t="s">
        <v>281</v>
      </c>
      <c r="D67" s="6">
        <v>2050</v>
      </c>
      <c r="E67" s="6" t="s">
        <v>108</v>
      </c>
      <c r="H67" s="7">
        <v>1</v>
      </c>
      <c r="P67" s="6">
        <v>1</v>
      </c>
    </row>
    <row r="68" spans="2:17" s="6" customFormat="1" x14ac:dyDescent="0.4">
      <c r="B68" s="6">
        <v>65</v>
      </c>
      <c r="C68" s="26" t="s">
        <v>283</v>
      </c>
      <c r="D68" s="6">
        <v>2030</v>
      </c>
      <c r="E68" s="6" t="s">
        <v>113</v>
      </c>
      <c r="F68" s="7">
        <v>1</v>
      </c>
      <c r="G68" s="7">
        <v>1</v>
      </c>
      <c r="H68" s="7">
        <v>1</v>
      </c>
      <c r="I68" s="6">
        <v>1</v>
      </c>
      <c r="J68" s="6">
        <v>1</v>
      </c>
      <c r="K68" s="7">
        <v>1</v>
      </c>
      <c r="L68" s="6">
        <v>1</v>
      </c>
      <c r="M68" s="6">
        <v>1</v>
      </c>
      <c r="N68" s="7">
        <v>1</v>
      </c>
      <c r="O68" s="6">
        <v>1</v>
      </c>
      <c r="Q68" s="7"/>
    </row>
    <row r="69" spans="2:17" s="6" customFormat="1" x14ac:dyDescent="0.4">
      <c r="B69" s="6">
        <v>66</v>
      </c>
      <c r="C69" s="26" t="s">
        <v>323</v>
      </c>
      <c r="D69" s="6">
        <v>2030</v>
      </c>
      <c r="E69" s="6" t="s">
        <v>108</v>
      </c>
      <c r="F69" s="7"/>
      <c r="G69" s="7">
        <v>1</v>
      </c>
      <c r="H69" s="7">
        <v>1</v>
      </c>
      <c r="I69" s="7"/>
      <c r="J69" s="7"/>
      <c r="K69" s="7"/>
      <c r="L69" s="7"/>
      <c r="M69" s="7"/>
      <c r="N69" s="7"/>
      <c r="O69" s="7"/>
      <c r="P69" s="7"/>
      <c r="Q69" s="7"/>
    </row>
    <row r="70" spans="2:17" s="6" customFormat="1" x14ac:dyDescent="0.4">
      <c r="B70" s="6">
        <v>67</v>
      </c>
      <c r="C70" s="26" t="s">
        <v>286</v>
      </c>
      <c r="D70" s="6">
        <v>2050</v>
      </c>
      <c r="E70" s="6" t="s">
        <v>108</v>
      </c>
      <c r="F70" s="7"/>
      <c r="G70" s="7">
        <v>1</v>
      </c>
      <c r="H70" s="7">
        <v>1</v>
      </c>
      <c r="K70" s="7"/>
      <c r="N70" s="7"/>
    </row>
    <row r="71" spans="2:17" s="6" customFormat="1" x14ac:dyDescent="0.4">
      <c r="B71" s="6">
        <v>68</v>
      </c>
      <c r="C71" s="26" t="s">
        <v>288</v>
      </c>
      <c r="D71" s="6">
        <v>2050</v>
      </c>
      <c r="E71" s="6" t="s">
        <v>109</v>
      </c>
      <c r="F71" s="7"/>
      <c r="G71" s="7">
        <v>1</v>
      </c>
      <c r="H71" s="7"/>
      <c r="K71" s="7"/>
      <c r="N71" s="7"/>
    </row>
    <row r="72" spans="2:17" s="6" customFormat="1" x14ac:dyDescent="0.4">
      <c r="B72" s="6">
        <v>69</v>
      </c>
      <c r="C72" s="26" t="s">
        <v>290</v>
      </c>
      <c r="D72" s="6">
        <v>2022</v>
      </c>
      <c r="E72" s="6" t="s">
        <v>114</v>
      </c>
      <c r="F72" s="7">
        <v>1</v>
      </c>
      <c r="G72" s="7"/>
      <c r="H72" s="7"/>
      <c r="K72" s="7"/>
      <c r="N72" s="7"/>
      <c r="Q72" s="6">
        <v>1</v>
      </c>
    </row>
    <row r="73" spans="2:17" s="6" customFormat="1" x14ac:dyDescent="0.4">
      <c r="B73" s="6">
        <v>70</v>
      </c>
      <c r="C73" s="26" t="s">
        <v>324</v>
      </c>
      <c r="D73" s="6">
        <v>2200</v>
      </c>
      <c r="E73" s="6" t="s">
        <v>108</v>
      </c>
      <c r="H73" s="7">
        <v>1</v>
      </c>
      <c r="Q73" s="7"/>
    </row>
    <row r="74" spans="2:17" s="6" customFormat="1" x14ac:dyDescent="0.4">
      <c r="B74" s="6">
        <v>71</v>
      </c>
      <c r="C74" s="26" t="s">
        <v>293</v>
      </c>
      <c r="D74" s="6">
        <v>2100</v>
      </c>
      <c r="E74" s="6" t="s">
        <v>108</v>
      </c>
      <c r="H74" s="7">
        <v>1</v>
      </c>
      <c r="J74" s="7"/>
      <c r="O74" s="6">
        <v>1</v>
      </c>
      <c r="P74" s="6">
        <v>1</v>
      </c>
    </row>
    <row r="75" spans="2:17" s="6" customFormat="1" x14ac:dyDescent="0.4">
      <c r="B75" s="6">
        <v>72</v>
      </c>
      <c r="C75" s="26" t="s">
        <v>295</v>
      </c>
      <c r="D75" s="6">
        <v>2050</v>
      </c>
      <c r="E75" s="6" t="s">
        <v>108</v>
      </c>
      <c r="H75" s="7"/>
      <c r="J75" s="7">
        <v>1</v>
      </c>
    </row>
    <row r="76" spans="2:17" s="6" customFormat="1" x14ac:dyDescent="0.4">
      <c r="B76" s="6">
        <v>73</v>
      </c>
      <c r="C76" s="26" t="s">
        <v>297</v>
      </c>
      <c r="D76" s="6">
        <v>2020</v>
      </c>
      <c r="E76" s="6" t="s">
        <v>108</v>
      </c>
      <c r="F76" s="6">
        <v>1</v>
      </c>
      <c r="H76" s="7"/>
      <c r="J76" s="7"/>
      <c r="Q76" s="6">
        <v>1</v>
      </c>
    </row>
    <row r="77" spans="2:17" s="6" customFormat="1" x14ac:dyDescent="0.4">
      <c r="B77" s="6">
        <v>74</v>
      </c>
      <c r="C77" s="26" t="s">
        <v>299</v>
      </c>
      <c r="D77" s="6">
        <v>2030</v>
      </c>
      <c r="E77" s="6" t="s">
        <v>108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M77" s="7">
        <v>1</v>
      </c>
    </row>
    <row r="78" spans="2:17" s="6" customFormat="1" x14ac:dyDescent="0.4">
      <c r="B78" s="6">
        <v>75</v>
      </c>
      <c r="C78" s="26" t="s">
        <v>301</v>
      </c>
      <c r="D78" s="6">
        <v>2050</v>
      </c>
      <c r="E78" s="6" t="s">
        <v>108</v>
      </c>
      <c r="F78" s="7"/>
      <c r="G78" s="7"/>
      <c r="H78" s="7">
        <v>1</v>
      </c>
      <c r="I78" s="7">
        <v>1</v>
      </c>
      <c r="J78" s="7"/>
      <c r="K78" s="7"/>
      <c r="M78" s="7"/>
      <c r="P78" s="6">
        <v>1</v>
      </c>
    </row>
    <row r="79" spans="2:17" s="6" customFormat="1" x14ac:dyDescent="0.4">
      <c r="B79" s="6">
        <v>76</v>
      </c>
      <c r="C79" s="26" t="s">
        <v>301</v>
      </c>
      <c r="D79" s="6">
        <v>2035</v>
      </c>
      <c r="E79" s="6" t="s">
        <v>108</v>
      </c>
      <c r="F79" s="7"/>
      <c r="G79" s="7">
        <v>1</v>
      </c>
      <c r="H79" s="7">
        <v>1</v>
      </c>
      <c r="I79" s="7"/>
      <c r="J79" s="7"/>
      <c r="K79" s="7"/>
      <c r="M79" s="7"/>
      <c r="P79" s="6">
        <v>1</v>
      </c>
      <c r="Q79" s="7"/>
    </row>
    <row r="80" spans="2:17" s="6" customFormat="1" x14ac:dyDescent="0.4">
      <c r="B80" s="6">
        <v>77</v>
      </c>
      <c r="C80" s="26" t="s">
        <v>303</v>
      </c>
      <c r="D80" s="6">
        <v>2050</v>
      </c>
      <c r="E80" s="6" t="s">
        <v>108</v>
      </c>
      <c r="F80" s="7">
        <v>1</v>
      </c>
      <c r="G80" s="7"/>
      <c r="H80" s="7"/>
      <c r="I80" s="7"/>
      <c r="J80" s="7"/>
      <c r="K80" s="7"/>
      <c r="M80" s="7"/>
      <c r="Q80" s="7"/>
    </row>
    <row r="81" spans="2:17" s="6" customFormat="1" x14ac:dyDescent="0.4">
      <c r="B81" s="6">
        <v>78</v>
      </c>
      <c r="C81" s="26" t="s">
        <v>207</v>
      </c>
      <c r="D81" s="6">
        <v>2050</v>
      </c>
      <c r="E81" s="6" t="s">
        <v>108</v>
      </c>
      <c r="F81" s="7"/>
      <c r="G81" s="7"/>
      <c r="H81" s="7"/>
      <c r="I81" s="7">
        <v>1</v>
      </c>
      <c r="J81" s="7"/>
      <c r="K81" s="7"/>
      <c r="M81" s="7"/>
      <c r="N81" s="7"/>
      <c r="P81" s="6">
        <v>1</v>
      </c>
      <c r="Q81" s="7"/>
    </row>
    <row r="82" spans="2:17" s="6" customFormat="1" x14ac:dyDescent="0.4">
      <c r="B82" s="6">
        <v>79</v>
      </c>
      <c r="C82" s="26" t="s">
        <v>325</v>
      </c>
      <c r="D82" s="6">
        <v>2100</v>
      </c>
      <c r="E82" s="6" t="s">
        <v>108</v>
      </c>
      <c r="F82" s="7"/>
      <c r="G82" s="7"/>
      <c r="H82" s="7">
        <v>1</v>
      </c>
      <c r="I82" s="7"/>
      <c r="J82" s="7"/>
      <c r="K82" s="7"/>
      <c r="M82" s="7"/>
      <c r="N82" s="7"/>
      <c r="P82" s="6">
        <v>1</v>
      </c>
      <c r="Q82" s="7"/>
    </row>
    <row r="83" spans="2:17" s="6" customFormat="1" x14ac:dyDescent="0.4">
      <c r="B83" s="6">
        <v>80</v>
      </c>
      <c r="C83" s="26" t="s">
        <v>307</v>
      </c>
      <c r="D83" s="6">
        <v>2030</v>
      </c>
      <c r="E83" s="6" t="s">
        <v>108</v>
      </c>
      <c r="H83" s="7">
        <v>1</v>
      </c>
      <c r="P83" s="6">
        <v>1</v>
      </c>
    </row>
    <row r="84" spans="2:17" s="6" customFormat="1" x14ac:dyDescent="0.4">
      <c r="B84" s="6">
        <v>81</v>
      </c>
      <c r="C84" s="26" t="s">
        <v>327</v>
      </c>
      <c r="D84" s="6">
        <v>2025</v>
      </c>
      <c r="E84" s="6" t="s">
        <v>108</v>
      </c>
      <c r="F84" s="7">
        <v>1</v>
      </c>
      <c r="G84" s="7">
        <v>1</v>
      </c>
      <c r="H84" s="7">
        <v>1</v>
      </c>
      <c r="I84" s="7"/>
      <c r="K84" s="7"/>
      <c r="N84" s="7"/>
      <c r="O84" s="7"/>
      <c r="P84" s="7">
        <v>1</v>
      </c>
      <c r="Q84" s="7"/>
    </row>
    <row r="85" spans="2:17" s="6" customFormat="1" x14ac:dyDescent="0.4">
      <c r="B85" s="6">
        <v>82</v>
      </c>
      <c r="C85" s="26" t="s">
        <v>309</v>
      </c>
      <c r="D85" s="6">
        <v>2050</v>
      </c>
      <c r="E85" s="6" t="s">
        <v>108</v>
      </c>
      <c r="F85" s="7">
        <v>1</v>
      </c>
      <c r="G85" s="7">
        <v>1</v>
      </c>
      <c r="J85" s="7">
        <v>1</v>
      </c>
      <c r="K85" s="7">
        <v>1</v>
      </c>
      <c r="M85" s="7">
        <v>1</v>
      </c>
      <c r="N85" s="7">
        <v>1</v>
      </c>
    </row>
    <row r="86" spans="2:17" s="6" customFormat="1" x14ac:dyDescent="0.4">
      <c r="B86" s="6">
        <v>83</v>
      </c>
      <c r="C86" s="26" t="s">
        <v>309</v>
      </c>
      <c r="D86" s="6">
        <v>2050</v>
      </c>
      <c r="E86" s="6" t="s">
        <v>108</v>
      </c>
      <c r="F86" s="7">
        <v>1</v>
      </c>
      <c r="G86" s="7">
        <v>1</v>
      </c>
      <c r="H86" s="6">
        <v>1</v>
      </c>
      <c r="I86" s="6">
        <v>1</v>
      </c>
      <c r="J86" s="7"/>
      <c r="K86" s="7"/>
      <c r="M86" s="7"/>
      <c r="N86" s="7"/>
    </row>
    <row r="87" spans="2:17" s="6" customFormat="1" x14ac:dyDescent="0.4">
      <c r="B87" s="6">
        <v>84</v>
      </c>
      <c r="C87" s="26" t="s">
        <v>311</v>
      </c>
      <c r="D87" s="6">
        <v>2100</v>
      </c>
      <c r="E87" s="6" t="s">
        <v>108</v>
      </c>
      <c r="F87" s="7"/>
      <c r="G87" s="7"/>
      <c r="H87" s="6">
        <v>1</v>
      </c>
      <c r="J87" s="7"/>
      <c r="K87" s="7"/>
      <c r="M87" s="7"/>
      <c r="N87" s="7"/>
      <c r="P87" s="7"/>
    </row>
    <row r="88" spans="2:17" s="6" customFormat="1" x14ac:dyDescent="0.4">
      <c r="B88" s="6">
        <v>85</v>
      </c>
      <c r="C88" s="26" t="s">
        <v>297</v>
      </c>
      <c r="D88" s="6">
        <v>2100</v>
      </c>
      <c r="E88" s="6" t="s">
        <v>108</v>
      </c>
      <c r="F88" s="7">
        <v>1</v>
      </c>
      <c r="G88" s="7"/>
      <c r="J88" s="7"/>
      <c r="K88" s="7"/>
      <c r="M88" s="7"/>
      <c r="N88" s="7"/>
      <c r="Q88" s="6">
        <v>1</v>
      </c>
    </row>
    <row r="89" spans="2:17" s="6" customFormat="1" x14ac:dyDescent="0.4">
      <c r="B89" s="6">
        <v>86</v>
      </c>
      <c r="C89" s="26" t="s">
        <v>326</v>
      </c>
      <c r="D89" s="6">
        <v>2100</v>
      </c>
      <c r="E89" s="6" t="s">
        <v>108</v>
      </c>
      <c r="F89" s="7"/>
      <c r="G89" s="7"/>
      <c r="H89" s="6">
        <v>1</v>
      </c>
      <c r="J89" s="7"/>
      <c r="K89" s="7"/>
      <c r="M89" s="7"/>
      <c r="N89" s="7"/>
      <c r="O89" s="6">
        <v>1</v>
      </c>
      <c r="P89" s="6">
        <v>1</v>
      </c>
      <c r="Q89" s="7"/>
    </row>
    <row r="90" spans="2:17" s="6" customFormat="1" x14ac:dyDescent="0.4">
      <c r="B90" s="6">
        <v>87</v>
      </c>
      <c r="C90" s="26" t="s">
        <v>326</v>
      </c>
      <c r="D90" s="6">
        <v>2020</v>
      </c>
      <c r="E90" s="6" t="s">
        <v>108</v>
      </c>
      <c r="F90" s="7">
        <v>1</v>
      </c>
      <c r="G90" s="7"/>
      <c r="J90" s="7"/>
      <c r="K90" s="7"/>
      <c r="M90" s="7"/>
      <c r="N90" s="7"/>
      <c r="Q90" s="7"/>
    </row>
    <row r="91" spans="2:17" s="6" customFormat="1" x14ac:dyDescent="0.4">
      <c r="B91" s="6">
        <v>88</v>
      </c>
      <c r="C91" s="26" t="s">
        <v>326</v>
      </c>
      <c r="D91" s="6">
        <v>2100</v>
      </c>
      <c r="E91" s="6" t="s">
        <v>108</v>
      </c>
      <c r="F91" s="7">
        <v>1</v>
      </c>
      <c r="G91" s="7"/>
      <c r="J91" s="7"/>
      <c r="K91" s="7"/>
      <c r="M91" s="7"/>
      <c r="N91" s="7"/>
    </row>
    <row r="92" spans="2:17" s="6" customFormat="1" x14ac:dyDescent="0.4">
      <c r="C92" s="26"/>
      <c r="F92" s="6">
        <f t="shared" ref="F92:O92" si="0">SUM(F4:F91)</f>
        <v>42</v>
      </c>
      <c r="G92" s="6">
        <f t="shared" si="0"/>
        <v>41</v>
      </c>
      <c r="H92" s="6">
        <f t="shared" si="0"/>
        <v>52</v>
      </c>
      <c r="I92" s="6">
        <f t="shared" si="0"/>
        <v>21</v>
      </c>
      <c r="J92" s="6">
        <f t="shared" si="0"/>
        <v>15</v>
      </c>
      <c r="K92" s="6">
        <f t="shared" si="0"/>
        <v>15</v>
      </c>
      <c r="L92" s="6">
        <f t="shared" si="0"/>
        <v>9</v>
      </c>
      <c r="M92" s="6">
        <f t="shared" si="0"/>
        <v>11</v>
      </c>
      <c r="N92" s="6">
        <f t="shared" si="0"/>
        <v>8</v>
      </c>
      <c r="O92" s="6">
        <f t="shared" si="0"/>
        <v>10</v>
      </c>
      <c r="P92" s="6">
        <f>SUM(P4:P91)</f>
        <v>38</v>
      </c>
      <c r="Q92" s="6">
        <f>SUM(Q4:Q91)</f>
        <v>11</v>
      </c>
    </row>
    <row r="93" spans="2:17" s="6" customFormat="1" x14ac:dyDescent="0.4">
      <c r="C93" s="26"/>
    </row>
  </sheetData>
  <mergeCells count="6">
    <mergeCell ref="B2:B3"/>
    <mergeCell ref="F2:P2"/>
    <mergeCell ref="Q2:Q3"/>
    <mergeCell ref="D2:D3"/>
    <mergeCell ref="E2:E3"/>
    <mergeCell ref="C2:C3"/>
  </mergeCells>
  <phoneticPr fontId="3"/>
  <conditionalFormatting sqref="F92:O9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36EB-7A41-451C-AC33-4AB02588E9A2}">
  <dimension ref="B2:N93"/>
  <sheetViews>
    <sheetView topLeftCell="A70" workbookViewId="0">
      <selection activeCell="K90" sqref="K90"/>
    </sheetView>
  </sheetViews>
  <sheetFormatPr defaultRowHeight="12.75" x14ac:dyDescent="0.4"/>
  <cols>
    <col min="1" max="1" width="9" style="1"/>
    <col min="2" max="2" width="10.625" style="4" customWidth="1"/>
    <col min="3" max="3" width="14" style="4" customWidth="1"/>
    <col min="4" max="14" width="15.625" style="4" customWidth="1"/>
    <col min="15" max="16384" width="9" style="1"/>
  </cols>
  <sheetData>
    <row r="2" spans="2:14" x14ac:dyDescent="0.4">
      <c r="B2" s="34" t="s">
        <v>117</v>
      </c>
      <c r="C2" s="34" t="s">
        <v>314</v>
      </c>
      <c r="D2" s="29" t="s">
        <v>122</v>
      </c>
      <c r="E2" s="29"/>
      <c r="F2" s="29"/>
      <c r="G2" s="29"/>
      <c r="H2" s="29"/>
      <c r="I2" s="29"/>
      <c r="J2" s="30" t="s">
        <v>91</v>
      </c>
      <c r="K2" s="30"/>
      <c r="L2" s="30"/>
      <c r="M2" s="30"/>
      <c r="N2" s="30"/>
    </row>
    <row r="3" spans="2:14" ht="25.5" x14ac:dyDescent="0.4">
      <c r="B3" s="35"/>
      <c r="C3" s="35"/>
      <c r="D3" s="9" t="s">
        <v>121</v>
      </c>
      <c r="E3" s="9" t="s">
        <v>102</v>
      </c>
      <c r="F3" s="9" t="s">
        <v>118</v>
      </c>
      <c r="G3" s="9" t="s">
        <v>103</v>
      </c>
      <c r="H3" s="9" t="s">
        <v>119</v>
      </c>
      <c r="I3" s="9" t="s">
        <v>120</v>
      </c>
      <c r="J3" s="9" t="s">
        <v>104</v>
      </c>
      <c r="K3" s="10" t="s">
        <v>105</v>
      </c>
      <c r="L3" s="10" t="s">
        <v>106</v>
      </c>
      <c r="M3" s="10" t="s">
        <v>124</v>
      </c>
      <c r="N3" s="9" t="s">
        <v>123</v>
      </c>
    </row>
    <row r="4" spans="2:14" x14ac:dyDescent="0.4">
      <c r="B4" s="6">
        <v>1</v>
      </c>
      <c r="C4" s="26" t="s">
        <v>188</v>
      </c>
      <c r="D4" s="7">
        <v>1</v>
      </c>
      <c r="E4" s="7">
        <v>1</v>
      </c>
      <c r="F4" s="7">
        <v>1</v>
      </c>
      <c r="G4" s="7"/>
      <c r="H4" s="7"/>
      <c r="I4" s="7"/>
      <c r="J4" s="7">
        <v>1</v>
      </c>
      <c r="K4" s="6">
        <v>1</v>
      </c>
      <c r="L4" s="6"/>
      <c r="M4" s="6"/>
      <c r="N4" s="7"/>
    </row>
    <row r="5" spans="2:14" x14ac:dyDescent="0.4">
      <c r="B5" s="6">
        <v>2</v>
      </c>
      <c r="C5" s="26" t="s">
        <v>190</v>
      </c>
      <c r="D5" s="7">
        <v>1</v>
      </c>
      <c r="E5" s="7">
        <v>1</v>
      </c>
      <c r="F5" s="7">
        <v>1</v>
      </c>
      <c r="G5" s="7">
        <v>1</v>
      </c>
      <c r="H5" s="7"/>
      <c r="I5" s="7"/>
      <c r="J5" s="7">
        <v>1</v>
      </c>
      <c r="K5" s="6"/>
      <c r="L5" s="6"/>
      <c r="M5" s="6"/>
      <c r="N5" s="7"/>
    </row>
    <row r="6" spans="2:14" x14ac:dyDescent="0.4">
      <c r="B6" s="6">
        <v>3</v>
      </c>
      <c r="C6" s="26" t="s">
        <v>192</v>
      </c>
      <c r="D6" s="7">
        <v>1</v>
      </c>
      <c r="E6" s="7">
        <v>1</v>
      </c>
      <c r="F6" s="7">
        <v>1</v>
      </c>
      <c r="G6" s="7"/>
      <c r="H6" s="7">
        <v>1</v>
      </c>
      <c r="I6" s="7"/>
      <c r="J6" s="7">
        <v>1</v>
      </c>
      <c r="K6" s="6"/>
      <c r="L6" s="6"/>
      <c r="M6" s="6"/>
      <c r="N6" s="7"/>
    </row>
    <row r="7" spans="2:14" x14ac:dyDescent="0.4">
      <c r="B7" s="6">
        <v>4</v>
      </c>
      <c r="C7" s="26" t="s">
        <v>194</v>
      </c>
      <c r="D7" s="7">
        <v>1</v>
      </c>
      <c r="E7" s="7">
        <v>1</v>
      </c>
      <c r="F7" s="7">
        <v>1</v>
      </c>
      <c r="G7" s="7"/>
      <c r="H7" s="7"/>
      <c r="I7" s="7"/>
      <c r="J7" s="7">
        <v>1</v>
      </c>
      <c r="K7" s="6">
        <v>1</v>
      </c>
      <c r="L7" s="6"/>
      <c r="M7" s="6"/>
      <c r="N7" s="7"/>
    </row>
    <row r="8" spans="2:14" x14ac:dyDescent="0.4">
      <c r="B8" s="6">
        <v>5</v>
      </c>
      <c r="C8" s="26" t="s">
        <v>198</v>
      </c>
      <c r="D8" s="7"/>
      <c r="E8" s="7">
        <v>1</v>
      </c>
      <c r="F8" s="7"/>
      <c r="G8" s="7">
        <v>1</v>
      </c>
      <c r="H8" s="7"/>
      <c r="I8" s="7"/>
      <c r="J8" s="7"/>
      <c r="K8" s="6">
        <v>1</v>
      </c>
      <c r="L8" s="6"/>
      <c r="M8" s="6"/>
      <c r="N8" s="7"/>
    </row>
    <row r="9" spans="2:14" x14ac:dyDescent="0.4">
      <c r="B9" s="6">
        <v>6</v>
      </c>
      <c r="C9" s="26" t="s">
        <v>200</v>
      </c>
      <c r="D9" s="7">
        <v>1</v>
      </c>
      <c r="E9" s="7">
        <v>1</v>
      </c>
      <c r="F9" s="7">
        <v>1</v>
      </c>
      <c r="G9" s="7"/>
      <c r="H9" s="7"/>
      <c r="I9" s="7"/>
      <c r="J9" s="7">
        <v>1</v>
      </c>
      <c r="K9" s="6">
        <v>1</v>
      </c>
      <c r="L9" s="6"/>
      <c r="M9" s="6"/>
      <c r="N9" s="7"/>
    </row>
    <row r="10" spans="2:14" x14ac:dyDescent="0.4">
      <c r="B10" s="6">
        <v>7</v>
      </c>
      <c r="C10" s="26" t="s">
        <v>174</v>
      </c>
      <c r="D10" s="7"/>
      <c r="E10" s="7">
        <v>1</v>
      </c>
      <c r="F10" s="7"/>
      <c r="G10" s="7"/>
      <c r="H10" s="7"/>
      <c r="I10" s="7"/>
      <c r="J10" s="7"/>
      <c r="K10" s="6">
        <v>1</v>
      </c>
      <c r="L10" s="6"/>
      <c r="M10" s="6"/>
      <c r="N10" s="7"/>
    </row>
    <row r="11" spans="2:14" x14ac:dyDescent="0.4">
      <c r="B11" s="6">
        <v>8</v>
      </c>
      <c r="C11" s="26" t="s">
        <v>203</v>
      </c>
      <c r="D11" s="7">
        <v>1</v>
      </c>
      <c r="E11" s="7">
        <v>1</v>
      </c>
      <c r="F11" s="7">
        <v>1</v>
      </c>
      <c r="G11" s="7"/>
      <c r="H11" s="7"/>
      <c r="I11" s="7"/>
      <c r="J11" s="7">
        <v>1</v>
      </c>
      <c r="K11" s="6"/>
      <c r="L11" s="6"/>
      <c r="M11" s="6"/>
      <c r="N11" s="7"/>
    </row>
    <row r="12" spans="2:14" x14ac:dyDescent="0.4">
      <c r="B12" s="6">
        <v>9</v>
      </c>
      <c r="C12" s="26" t="s">
        <v>205</v>
      </c>
      <c r="D12" s="7"/>
      <c r="E12" s="7">
        <v>1</v>
      </c>
      <c r="F12" s="7"/>
      <c r="G12" s="7"/>
      <c r="H12" s="7">
        <v>1</v>
      </c>
      <c r="I12" s="7"/>
      <c r="J12" s="7"/>
      <c r="K12" s="6"/>
      <c r="L12" s="6"/>
      <c r="M12" s="6"/>
      <c r="N12" s="7"/>
    </row>
    <row r="13" spans="2:14" x14ac:dyDescent="0.4">
      <c r="B13" s="6">
        <v>10</v>
      </c>
      <c r="C13" s="26" t="s">
        <v>207</v>
      </c>
      <c r="D13" s="7">
        <v>1</v>
      </c>
      <c r="E13" s="7">
        <v>1</v>
      </c>
      <c r="F13" s="7">
        <v>1</v>
      </c>
      <c r="G13" s="7">
        <v>1</v>
      </c>
      <c r="H13" s="7"/>
      <c r="I13" s="7"/>
      <c r="J13" s="7">
        <v>1</v>
      </c>
      <c r="K13" s="6"/>
      <c r="L13" s="6"/>
      <c r="M13" s="6"/>
      <c r="N13" s="7"/>
    </row>
    <row r="14" spans="2:14" x14ac:dyDescent="0.4">
      <c r="B14" s="6">
        <v>11</v>
      </c>
      <c r="C14" s="26" t="s">
        <v>209</v>
      </c>
      <c r="D14" s="7"/>
      <c r="E14" s="7">
        <v>1</v>
      </c>
      <c r="F14" s="7"/>
      <c r="G14" s="7"/>
      <c r="H14" s="7"/>
      <c r="I14" s="7"/>
      <c r="J14" s="7"/>
      <c r="K14" s="6"/>
      <c r="L14" s="6"/>
      <c r="M14" s="6"/>
      <c r="N14" s="7"/>
    </row>
    <row r="15" spans="2:14" x14ac:dyDescent="0.4">
      <c r="B15" s="6">
        <v>12</v>
      </c>
      <c r="C15" s="26" t="s">
        <v>211</v>
      </c>
      <c r="D15" s="7">
        <v>1</v>
      </c>
      <c r="E15" s="7">
        <v>1</v>
      </c>
      <c r="F15" s="7">
        <v>1</v>
      </c>
      <c r="G15" s="7"/>
      <c r="H15" s="7"/>
      <c r="I15" s="7"/>
      <c r="J15" s="7">
        <v>1</v>
      </c>
      <c r="K15" s="6"/>
      <c r="L15" s="6"/>
      <c r="M15" s="6"/>
      <c r="N15" s="7"/>
    </row>
    <row r="16" spans="2:14" x14ac:dyDescent="0.4">
      <c r="B16" s="6">
        <v>13</v>
      </c>
      <c r="C16" s="26" t="s">
        <v>211</v>
      </c>
      <c r="D16" s="7">
        <v>1</v>
      </c>
      <c r="E16" s="7">
        <v>1</v>
      </c>
      <c r="F16" s="7">
        <v>1</v>
      </c>
      <c r="G16" s="7"/>
      <c r="H16" s="7"/>
      <c r="I16" s="7"/>
      <c r="J16" s="7">
        <v>1</v>
      </c>
      <c r="K16" s="6"/>
      <c r="L16" s="6"/>
      <c r="M16" s="6"/>
      <c r="N16" s="7"/>
    </row>
    <row r="17" spans="2:14" x14ac:dyDescent="0.4">
      <c r="B17" s="6">
        <v>14</v>
      </c>
      <c r="C17" s="26" t="s">
        <v>213</v>
      </c>
      <c r="D17" s="7">
        <v>1</v>
      </c>
      <c r="E17" s="7">
        <v>1</v>
      </c>
      <c r="F17" s="7">
        <v>1</v>
      </c>
      <c r="G17" s="7"/>
      <c r="H17" s="7"/>
      <c r="I17" s="7"/>
      <c r="J17" s="7">
        <v>1</v>
      </c>
      <c r="K17" s="6">
        <v>1</v>
      </c>
      <c r="L17" s="6"/>
      <c r="M17" s="6"/>
      <c r="N17" s="7"/>
    </row>
    <row r="18" spans="2:14" x14ac:dyDescent="0.4">
      <c r="B18" s="6">
        <v>15</v>
      </c>
      <c r="C18" s="26" t="s">
        <v>174</v>
      </c>
      <c r="D18" s="7">
        <v>1</v>
      </c>
      <c r="E18" s="7">
        <v>1</v>
      </c>
      <c r="F18" s="7">
        <v>1</v>
      </c>
      <c r="G18" s="7"/>
      <c r="H18" s="7"/>
      <c r="I18" s="7"/>
      <c r="J18" s="7">
        <v>1</v>
      </c>
      <c r="K18" s="6">
        <v>1</v>
      </c>
      <c r="L18" s="6"/>
      <c r="M18" s="6"/>
      <c r="N18" s="7">
        <v>1</v>
      </c>
    </row>
    <row r="19" spans="2:14" x14ac:dyDescent="0.4">
      <c r="B19" s="6">
        <v>16</v>
      </c>
      <c r="C19" s="26" t="s">
        <v>192</v>
      </c>
      <c r="D19" s="7">
        <v>1</v>
      </c>
      <c r="E19" s="7">
        <v>1</v>
      </c>
      <c r="F19" s="7">
        <v>1</v>
      </c>
      <c r="G19" s="7"/>
      <c r="H19" s="7"/>
      <c r="I19" s="7"/>
      <c r="J19" s="7">
        <v>1</v>
      </c>
      <c r="K19" s="6">
        <v>1</v>
      </c>
      <c r="L19" s="6"/>
      <c r="M19" s="6"/>
      <c r="N19" s="6"/>
    </row>
    <row r="20" spans="2:14" x14ac:dyDescent="0.4">
      <c r="B20" s="6">
        <v>17</v>
      </c>
      <c r="C20" s="26" t="s">
        <v>216</v>
      </c>
      <c r="D20" s="7">
        <v>1</v>
      </c>
      <c r="E20" s="7">
        <v>1</v>
      </c>
      <c r="F20" s="7"/>
      <c r="G20" s="7">
        <v>1</v>
      </c>
      <c r="H20" s="7"/>
      <c r="I20" s="7"/>
      <c r="J20" s="7"/>
      <c r="K20" s="6"/>
      <c r="L20" s="6"/>
      <c r="M20" s="6"/>
      <c r="N20" s="6"/>
    </row>
    <row r="21" spans="2:14" x14ac:dyDescent="0.4">
      <c r="B21" s="6">
        <v>18</v>
      </c>
      <c r="C21" s="26" t="s">
        <v>218</v>
      </c>
      <c r="D21" s="7"/>
      <c r="E21" s="7">
        <v>1</v>
      </c>
      <c r="F21" s="7"/>
      <c r="G21" s="7"/>
      <c r="H21" s="7"/>
      <c r="I21" s="7"/>
      <c r="J21" s="7"/>
      <c r="K21" s="6"/>
      <c r="L21" s="6"/>
      <c r="M21" s="6"/>
      <c r="N21" s="6"/>
    </row>
    <row r="22" spans="2:14" x14ac:dyDescent="0.4">
      <c r="B22" s="6">
        <v>19</v>
      </c>
      <c r="C22" s="26" t="s">
        <v>220</v>
      </c>
      <c r="D22" s="7">
        <v>1</v>
      </c>
      <c r="E22" s="7">
        <v>1</v>
      </c>
      <c r="F22" s="7">
        <v>1</v>
      </c>
      <c r="G22" s="7"/>
      <c r="H22" s="7"/>
      <c r="I22" s="7"/>
      <c r="J22" s="7">
        <v>1</v>
      </c>
      <c r="K22" s="6"/>
      <c r="L22" s="6"/>
      <c r="M22" s="6"/>
      <c r="N22" s="6"/>
    </row>
    <row r="23" spans="2:14" x14ac:dyDescent="0.4">
      <c r="B23" s="6">
        <v>20</v>
      </c>
      <c r="C23" s="26" t="s">
        <v>222</v>
      </c>
      <c r="D23" s="7"/>
      <c r="E23" s="7">
        <v>1</v>
      </c>
      <c r="F23" s="7"/>
      <c r="G23" s="7"/>
      <c r="H23" s="7"/>
      <c r="I23" s="7"/>
      <c r="J23" s="7"/>
      <c r="K23" s="6"/>
      <c r="L23" s="6"/>
      <c r="M23" s="6"/>
      <c r="N23" s="6"/>
    </row>
    <row r="24" spans="2:14" x14ac:dyDescent="0.4">
      <c r="B24" s="6">
        <v>21</v>
      </c>
      <c r="C24" s="26" t="s">
        <v>200</v>
      </c>
      <c r="D24" s="7">
        <v>1</v>
      </c>
      <c r="E24" s="7">
        <v>1</v>
      </c>
      <c r="F24" s="7">
        <v>1</v>
      </c>
      <c r="G24" s="7"/>
      <c r="H24" s="7"/>
      <c r="I24" s="7"/>
      <c r="J24" s="7">
        <v>1</v>
      </c>
      <c r="K24" s="6">
        <v>1</v>
      </c>
      <c r="L24" s="6"/>
      <c r="M24" s="6"/>
      <c r="N24" s="6"/>
    </row>
    <row r="25" spans="2:14" x14ac:dyDescent="0.4">
      <c r="B25" s="6">
        <v>22</v>
      </c>
      <c r="C25" s="26" t="s">
        <v>315</v>
      </c>
      <c r="D25" s="7">
        <v>1</v>
      </c>
      <c r="E25" s="7">
        <v>1</v>
      </c>
      <c r="F25" s="7">
        <v>1</v>
      </c>
      <c r="G25" s="7"/>
      <c r="H25" s="7"/>
      <c r="I25" s="7"/>
      <c r="J25" s="7">
        <v>1</v>
      </c>
      <c r="K25" s="6"/>
      <c r="L25" s="6"/>
      <c r="M25" s="6"/>
      <c r="N25" s="6"/>
    </row>
    <row r="26" spans="2:14" x14ac:dyDescent="0.4">
      <c r="B26" s="6">
        <v>23</v>
      </c>
      <c r="C26" s="26" t="s">
        <v>225</v>
      </c>
      <c r="D26" s="7">
        <v>1</v>
      </c>
      <c r="E26" s="7">
        <v>1</v>
      </c>
      <c r="F26" s="7">
        <v>1</v>
      </c>
      <c r="G26" s="7"/>
      <c r="H26" s="7"/>
      <c r="I26" s="7"/>
      <c r="J26" s="7">
        <v>1</v>
      </c>
      <c r="K26" s="6">
        <v>1</v>
      </c>
      <c r="L26" s="6"/>
      <c r="M26" s="6"/>
      <c r="N26" s="6"/>
    </row>
    <row r="27" spans="2:14" x14ac:dyDescent="0.4">
      <c r="B27" s="6">
        <v>24</v>
      </c>
      <c r="C27" s="26" t="s">
        <v>227</v>
      </c>
      <c r="D27" s="7">
        <v>1</v>
      </c>
      <c r="E27" s="7">
        <v>1</v>
      </c>
      <c r="F27" s="7"/>
      <c r="G27" s="7"/>
      <c r="H27" s="7"/>
      <c r="I27" s="7"/>
      <c r="J27" s="7"/>
      <c r="K27" s="6"/>
      <c r="L27" s="6"/>
      <c r="M27" s="6"/>
      <c r="N27" s="6"/>
    </row>
    <row r="28" spans="2:14" x14ac:dyDescent="0.4">
      <c r="B28" s="6">
        <v>25</v>
      </c>
      <c r="C28" s="26" t="s">
        <v>229</v>
      </c>
      <c r="D28" s="7">
        <v>1</v>
      </c>
      <c r="E28" s="7">
        <v>1</v>
      </c>
      <c r="F28" s="7"/>
      <c r="G28" s="7"/>
      <c r="H28" s="7"/>
      <c r="I28" s="7"/>
      <c r="J28" s="7"/>
      <c r="K28" s="6"/>
      <c r="L28" s="6"/>
      <c r="M28" s="6"/>
      <c r="N28" s="6"/>
    </row>
    <row r="29" spans="2:14" x14ac:dyDescent="0.4">
      <c r="B29" s="6">
        <v>26</v>
      </c>
      <c r="C29" s="26" t="s">
        <v>316</v>
      </c>
      <c r="D29" s="7">
        <v>1</v>
      </c>
      <c r="E29" s="7">
        <v>1</v>
      </c>
      <c r="F29" s="7"/>
      <c r="G29" s="7"/>
      <c r="H29" s="7"/>
      <c r="I29" s="7"/>
      <c r="J29" s="7"/>
      <c r="K29" s="6"/>
      <c r="L29" s="6"/>
      <c r="M29" s="6"/>
      <c r="N29" s="6"/>
    </row>
    <row r="30" spans="2:14" x14ac:dyDescent="0.4">
      <c r="B30" s="6">
        <v>27</v>
      </c>
      <c r="C30" s="26" t="s">
        <v>209</v>
      </c>
      <c r="D30" s="7"/>
      <c r="E30" s="7">
        <v>1</v>
      </c>
      <c r="F30" s="7"/>
      <c r="G30" s="7"/>
      <c r="H30" s="7"/>
      <c r="I30" s="7"/>
      <c r="J30" s="7"/>
      <c r="K30" s="6"/>
      <c r="L30" s="6"/>
      <c r="M30" s="6"/>
      <c r="N30" s="6"/>
    </row>
    <row r="31" spans="2:14" x14ac:dyDescent="0.4">
      <c r="B31" s="6">
        <v>28</v>
      </c>
      <c r="C31" s="26" t="s">
        <v>232</v>
      </c>
      <c r="D31" s="7">
        <v>1</v>
      </c>
      <c r="E31" s="7">
        <v>1</v>
      </c>
      <c r="F31" s="7">
        <v>1</v>
      </c>
      <c r="G31" s="7"/>
      <c r="H31" s="7"/>
      <c r="I31" s="7"/>
      <c r="J31" s="7">
        <v>1</v>
      </c>
      <c r="K31" s="7">
        <v>1</v>
      </c>
      <c r="L31" s="7"/>
      <c r="M31" s="7"/>
      <c r="N31" s="6"/>
    </row>
    <row r="32" spans="2:14" x14ac:dyDescent="0.4">
      <c r="B32" s="6">
        <v>29</v>
      </c>
      <c r="C32" s="26" t="s">
        <v>234</v>
      </c>
      <c r="D32" s="7">
        <v>1</v>
      </c>
      <c r="E32" s="7">
        <v>1</v>
      </c>
      <c r="F32" s="7">
        <v>1</v>
      </c>
      <c r="G32" s="7"/>
      <c r="H32" s="7"/>
      <c r="I32" s="7"/>
      <c r="J32" s="7">
        <v>1</v>
      </c>
      <c r="K32" s="7"/>
      <c r="L32" s="7"/>
      <c r="M32" s="7"/>
      <c r="N32" s="6"/>
    </row>
    <row r="33" spans="2:14" x14ac:dyDescent="0.4">
      <c r="B33" s="6">
        <v>30</v>
      </c>
      <c r="C33" s="26" t="s">
        <v>236</v>
      </c>
      <c r="D33" s="7"/>
      <c r="E33" s="7">
        <v>1</v>
      </c>
      <c r="F33" s="7"/>
      <c r="G33" s="7"/>
      <c r="H33" s="7"/>
      <c r="I33" s="7"/>
      <c r="J33" s="7"/>
      <c r="K33" s="6"/>
      <c r="L33" s="6"/>
      <c r="M33" s="6"/>
      <c r="N33" s="6"/>
    </row>
    <row r="34" spans="2:14" x14ac:dyDescent="0.4">
      <c r="B34" s="6">
        <v>31</v>
      </c>
      <c r="C34" s="26" t="s">
        <v>238</v>
      </c>
      <c r="D34" s="7">
        <v>1</v>
      </c>
      <c r="E34" s="7">
        <v>1</v>
      </c>
      <c r="F34" s="7">
        <v>1</v>
      </c>
      <c r="G34" s="7"/>
      <c r="H34" s="7"/>
      <c r="I34" s="7"/>
      <c r="J34" s="7">
        <v>1</v>
      </c>
      <c r="K34" s="6">
        <v>1</v>
      </c>
      <c r="L34" s="6"/>
      <c r="M34" s="6"/>
      <c r="N34" s="6"/>
    </row>
    <row r="35" spans="2:14" x14ac:dyDescent="0.4">
      <c r="B35" s="6">
        <v>32</v>
      </c>
      <c r="C35" s="26" t="s">
        <v>240</v>
      </c>
      <c r="D35" s="7">
        <v>1</v>
      </c>
      <c r="E35" s="7">
        <v>1</v>
      </c>
      <c r="F35" s="7">
        <v>1</v>
      </c>
      <c r="G35" s="7"/>
      <c r="H35" s="7"/>
      <c r="I35" s="7"/>
      <c r="J35" s="7">
        <v>1</v>
      </c>
      <c r="K35" s="6"/>
      <c r="L35" s="6">
        <v>1</v>
      </c>
      <c r="M35" s="6"/>
      <c r="N35" s="6"/>
    </row>
    <row r="36" spans="2:14" x14ac:dyDescent="0.4">
      <c r="B36" s="6">
        <v>33</v>
      </c>
      <c r="C36" s="26" t="s">
        <v>317</v>
      </c>
      <c r="D36" s="7"/>
      <c r="E36" s="7">
        <v>1</v>
      </c>
      <c r="F36" s="7"/>
      <c r="G36" s="7"/>
      <c r="H36" s="7"/>
      <c r="I36" s="7"/>
      <c r="J36" s="7"/>
      <c r="K36" s="6">
        <v>1</v>
      </c>
      <c r="L36" s="6"/>
      <c r="M36" s="6"/>
      <c r="N36" s="6"/>
    </row>
    <row r="37" spans="2:14" x14ac:dyDescent="0.4">
      <c r="B37" s="6">
        <v>34</v>
      </c>
      <c r="C37" s="26" t="s">
        <v>243</v>
      </c>
      <c r="D37" s="7">
        <v>1</v>
      </c>
      <c r="E37" s="7">
        <v>1</v>
      </c>
      <c r="F37" s="7">
        <v>1</v>
      </c>
      <c r="G37" s="7"/>
      <c r="H37" s="7"/>
      <c r="I37" s="7"/>
      <c r="J37" s="7">
        <v>1</v>
      </c>
      <c r="K37" s="6"/>
      <c r="L37" s="6"/>
      <c r="M37" s="6"/>
      <c r="N37" s="6"/>
    </row>
    <row r="38" spans="2:14" x14ac:dyDescent="0.4">
      <c r="B38" s="6">
        <v>35</v>
      </c>
      <c r="C38" s="26" t="s">
        <v>245</v>
      </c>
      <c r="D38" s="7">
        <v>1</v>
      </c>
      <c r="E38" s="7">
        <v>1</v>
      </c>
      <c r="F38" s="7">
        <v>1</v>
      </c>
      <c r="G38" s="7"/>
      <c r="H38" s="7"/>
      <c r="I38" s="7"/>
      <c r="J38" s="7">
        <v>1</v>
      </c>
      <c r="K38" s="6"/>
      <c r="L38" s="6"/>
      <c r="M38" s="6"/>
      <c r="N38" s="6">
        <v>1</v>
      </c>
    </row>
    <row r="39" spans="2:14" x14ac:dyDescent="0.4">
      <c r="B39" s="6">
        <v>36</v>
      </c>
      <c r="C39" s="26" t="s">
        <v>247</v>
      </c>
      <c r="D39" s="7"/>
      <c r="E39" s="7">
        <v>1</v>
      </c>
      <c r="F39" s="7"/>
      <c r="G39" s="7"/>
      <c r="H39" s="7"/>
      <c r="I39" s="7"/>
      <c r="J39" s="7"/>
      <c r="K39" s="6">
        <v>1</v>
      </c>
      <c r="L39" s="6"/>
      <c r="M39" s="6"/>
      <c r="N39" s="6"/>
    </row>
    <row r="40" spans="2:14" x14ac:dyDescent="0.4">
      <c r="B40" s="6">
        <v>37</v>
      </c>
      <c r="C40" s="26" t="s">
        <v>318</v>
      </c>
      <c r="D40" s="7">
        <v>1</v>
      </c>
      <c r="E40" s="7">
        <v>1</v>
      </c>
      <c r="F40" s="7">
        <v>1</v>
      </c>
      <c r="G40" s="7"/>
      <c r="H40" s="7"/>
      <c r="I40" s="7"/>
      <c r="J40" s="7">
        <v>1</v>
      </c>
      <c r="K40" s="6">
        <v>1</v>
      </c>
      <c r="L40" s="6"/>
      <c r="M40" s="6"/>
      <c r="N40" s="6"/>
    </row>
    <row r="41" spans="2:14" x14ac:dyDescent="0.4">
      <c r="B41" s="6">
        <v>38</v>
      </c>
      <c r="C41" s="26" t="s">
        <v>227</v>
      </c>
      <c r="D41" s="7">
        <v>1</v>
      </c>
      <c r="E41" s="7">
        <v>1</v>
      </c>
      <c r="F41" s="7">
        <v>1</v>
      </c>
      <c r="G41" s="7"/>
      <c r="H41" s="7"/>
      <c r="I41" s="7"/>
      <c r="J41" s="7">
        <v>1</v>
      </c>
      <c r="K41" s="6">
        <v>1</v>
      </c>
      <c r="L41" s="6"/>
      <c r="M41" s="6"/>
      <c r="N41" s="6"/>
    </row>
    <row r="42" spans="2:14" x14ac:dyDescent="0.4">
      <c r="B42" s="6">
        <v>39</v>
      </c>
      <c r="C42" s="26" t="s">
        <v>319</v>
      </c>
      <c r="D42" s="7">
        <v>1</v>
      </c>
      <c r="E42" s="7">
        <v>1</v>
      </c>
      <c r="F42" s="7">
        <v>1</v>
      </c>
      <c r="G42" s="7"/>
      <c r="H42" s="7"/>
      <c r="I42" s="7"/>
      <c r="J42" s="7">
        <v>1</v>
      </c>
      <c r="K42" s="6">
        <v>1</v>
      </c>
      <c r="L42" s="6"/>
      <c r="M42" s="6"/>
      <c r="N42" s="6"/>
    </row>
    <row r="43" spans="2:14" x14ac:dyDescent="0.4">
      <c r="B43" s="6">
        <v>40</v>
      </c>
      <c r="C43" s="26" t="s">
        <v>251</v>
      </c>
      <c r="D43" s="7">
        <v>1</v>
      </c>
      <c r="E43" s="7">
        <v>1</v>
      </c>
      <c r="F43" s="7">
        <v>1</v>
      </c>
      <c r="G43" s="7"/>
      <c r="H43" s="7"/>
      <c r="I43" s="7"/>
      <c r="J43" s="7">
        <v>1</v>
      </c>
      <c r="K43" s="6">
        <v>1</v>
      </c>
      <c r="L43" s="6"/>
      <c r="M43" s="6"/>
      <c r="N43" s="6"/>
    </row>
    <row r="44" spans="2:14" x14ac:dyDescent="0.4">
      <c r="B44" s="6">
        <v>41</v>
      </c>
      <c r="C44" s="26" t="s">
        <v>320</v>
      </c>
      <c r="D44" s="7">
        <v>1</v>
      </c>
      <c r="E44" s="7">
        <v>1</v>
      </c>
      <c r="F44" s="7">
        <v>1</v>
      </c>
      <c r="G44" s="7"/>
      <c r="H44" s="7"/>
      <c r="I44" s="7"/>
      <c r="J44" s="7">
        <v>1</v>
      </c>
      <c r="K44" s="6"/>
      <c r="L44" s="6"/>
      <c r="M44" s="6"/>
      <c r="N44" s="6"/>
    </row>
    <row r="45" spans="2:14" x14ac:dyDescent="0.4">
      <c r="B45" s="6">
        <v>42</v>
      </c>
      <c r="C45" s="26" t="s">
        <v>254</v>
      </c>
      <c r="D45" s="7">
        <v>1</v>
      </c>
      <c r="E45" s="7">
        <v>1</v>
      </c>
      <c r="F45" s="7">
        <v>1</v>
      </c>
      <c r="G45" s="7"/>
      <c r="H45" s="7"/>
      <c r="I45" s="7"/>
      <c r="J45" s="7">
        <v>1</v>
      </c>
      <c r="K45" s="6">
        <v>1</v>
      </c>
      <c r="L45" s="6"/>
      <c r="M45" s="6"/>
      <c r="N45" s="7">
        <v>1</v>
      </c>
    </row>
    <row r="46" spans="2:14" x14ac:dyDescent="0.4">
      <c r="B46" s="6">
        <v>43</v>
      </c>
      <c r="C46" s="26" t="s">
        <v>256</v>
      </c>
      <c r="D46" s="7">
        <v>1</v>
      </c>
      <c r="E46" s="7">
        <v>1</v>
      </c>
      <c r="F46" s="7">
        <v>1</v>
      </c>
      <c r="G46" s="7">
        <v>1</v>
      </c>
      <c r="H46" s="7"/>
      <c r="I46" s="7"/>
      <c r="J46" s="7">
        <v>1</v>
      </c>
      <c r="K46" s="6">
        <v>1</v>
      </c>
      <c r="L46" s="6"/>
      <c r="M46" s="6"/>
      <c r="N46" s="7"/>
    </row>
    <row r="47" spans="2:14" x14ac:dyDescent="0.4">
      <c r="B47" s="6">
        <v>44</v>
      </c>
      <c r="C47" s="26" t="s">
        <v>231</v>
      </c>
      <c r="D47" s="7">
        <v>1</v>
      </c>
      <c r="E47" s="7">
        <v>1</v>
      </c>
      <c r="F47" s="7"/>
      <c r="G47" s="7">
        <v>1</v>
      </c>
      <c r="H47" s="7"/>
      <c r="I47" s="7"/>
      <c r="J47" s="7"/>
      <c r="K47" s="6"/>
      <c r="L47" s="6"/>
      <c r="M47" s="6"/>
      <c r="N47" s="7"/>
    </row>
    <row r="48" spans="2:14" x14ac:dyDescent="0.4">
      <c r="B48" s="6">
        <v>45</v>
      </c>
      <c r="C48" s="26" t="s">
        <v>188</v>
      </c>
      <c r="D48" s="7">
        <v>1</v>
      </c>
      <c r="E48" s="7">
        <v>1</v>
      </c>
      <c r="F48" s="7">
        <v>1</v>
      </c>
      <c r="G48" s="7"/>
      <c r="H48" s="7">
        <v>1</v>
      </c>
      <c r="I48" s="7"/>
      <c r="J48" s="7">
        <v>1</v>
      </c>
      <c r="K48" s="6">
        <v>1</v>
      </c>
      <c r="L48" s="6"/>
      <c r="M48" s="6"/>
      <c r="N48" s="7"/>
    </row>
    <row r="49" spans="2:14" x14ac:dyDescent="0.4">
      <c r="B49" s="6">
        <v>46</v>
      </c>
      <c r="C49" s="26" t="s">
        <v>259</v>
      </c>
      <c r="D49" s="7">
        <v>1</v>
      </c>
      <c r="E49" s="7">
        <v>1</v>
      </c>
      <c r="F49" s="7"/>
      <c r="G49" s="7"/>
      <c r="H49" s="7"/>
      <c r="I49" s="7"/>
      <c r="J49" s="6"/>
      <c r="K49" s="6">
        <v>1</v>
      </c>
      <c r="L49" s="6"/>
      <c r="M49" s="6"/>
      <c r="N49" s="6"/>
    </row>
    <row r="50" spans="2:14" x14ac:dyDescent="0.4">
      <c r="B50" s="6">
        <v>47</v>
      </c>
      <c r="C50" s="26" t="s">
        <v>261</v>
      </c>
      <c r="D50" s="7"/>
      <c r="E50" s="7">
        <v>1</v>
      </c>
      <c r="F50" s="7"/>
      <c r="G50" s="7"/>
      <c r="H50" s="7"/>
      <c r="I50" s="7"/>
      <c r="J50" s="6"/>
      <c r="K50" s="6"/>
      <c r="L50" s="6"/>
      <c r="M50" s="6"/>
      <c r="N50" s="6"/>
    </row>
    <row r="51" spans="2:14" x14ac:dyDescent="0.4">
      <c r="B51" s="6">
        <v>48</v>
      </c>
      <c r="C51" s="26" t="s">
        <v>263</v>
      </c>
      <c r="D51" s="7"/>
      <c r="E51" s="7">
        <v>1</v>
      </c>
      <c r="F51" s="7"/>
      <c r="G51" s="7"/>
      <c r="H51" s="7"/>
      <c r="I51" s="7"/>
      <c r="J51" s="6"/>
      <c r="K51" s="6">
        <v>1</v>
      </c>
      <c r="L51" s="6"/>
      <c r="M51" s="6"/>
      <c r="N51" s="6"/>
    </row>
    <row r="52" spans="2:14" x14ac:dyDescent="0.4">
      <c r="B52" s="6">
        <v>49</v>
      </c>
      <c r="C52" s="26" t="s">
        <v>188</v>
      </c>
      <c r="D52" s="7">
        <v>1</v>
      </c>
      <c r="E52" s="7">
        <v>1</v>
      </c>
      <c r="F52" s="7">
        <v>1</v>
      </c>
      <c r="G52" s="7"/>
      <c r="H52" s="7">
        <v>1</v>
      </c>
      <c r="I52" s="7"/>
      <c r="J52" s="7">
        <v>1</v>
      </c>
      <c r="K52" s="6"/>
      <c r="L52" s="6"/>
      <c r="M52" s="6"/>
      <c r="N52" s="6"/>
    </row>
    <row r="53" spans="2:14" x14ac:dyDescent="0.4">
      <c r="B53" s="6">
        <v>50</v>
      </c>
      <c r="C53" s="26" t="s">
        <v>232</v>
      </c>
      <c r="D53" s="7"/>
      <c r="E53" s="7">
        <v>1</v>
      </c>
      <c r="F53" s="7"/>
      <c r="G53" s="7"/>
      <c r="H53" s="7"/>
      <c r="I53" s="7"/>
      <c r="J53" s="7"/>
      <c r="K53" s="6"/>
      <c r="L53" s="6"/>
      <c r="M53" s="6"/>
      <c r="N53" s="6"/>
    </row>
    <row r="54" spans="2:14" x14ac:dyDescent="0.4">
      <c r="B54" s="6">
        <v>51</v>
      </c>
      <c r="C54" s="26" t="s">
        <v>265</v>
      </c>
      <c r="D54" s="7">
        <v>1</v>
      </c>
      <c r="E54" s="7">
        <v>1</v>
      </c>
      <c r="F54" s="7">
        <v>1</v>
      </c>
      <c r="G54" s="7"/>
      <c r="H54" s="7"/>
      <c r="I54" s="7"/>
      <c r="J54" s="6">
        <v>1</v>
      </c>
      <c r="K54" s="7">
        <v>1</v>
      </c>
      <c r="L54" s="7"/>
      <c r="M54" s="7"/>
      <c r="N54" s="6">
        <v>1</v>
      </c>
    </row>
    <row r="55" spans="2:14" x14ac:dyDescent="0.4">
      <c r="B55" s="6">
        <v>52</v>
      </c>
      <c r="C55" s="26" t="s">
        <v>267</v>
      </c>
      <c r="D55" s="7">
        <v>1</v>
      </c>
      <c r="E55" s="7">
        <v>1</v>
      </c>
      <c r="F55" s="7">
        <v>1</v>
      </c>
      <c r="G55" s="7"/>
      <c r="H55" s="7"/>
      <c r="I55" s="7"/>
      <c r="J55" s="7">
        <v>1</v>
      </c>
      <c r="K55" s="7"/>
      <c r="L55" s="7"/>
      <c r="M55" s="7"/>
      <c r="N55" s="6"/>
    </row>
    <row r="56" spans="2:14" x14ac:dyDescent="0.4">
      <c r="B56" s="6">
        <v>53</v>
      </c>
      <c r="C56" s="26" t="s">
        <v>240</v>
      </c>
      <c r="D56" s="7">
        <v>1</v>
      </c>
      <c r="E56" s="7">
        <v>1</v>
      </c>
      <c r="F56" s="7">
        <v>1</v>
      </c>
      <c r="G56" s="7"/>
      <c r="H56" s="7"/>
      <c r="I56" s="7"/>
      <c r="J56" s="7">
        <v>1</v>
      </c>
      <c r="K56" s="7"/>
      <c r="L56" s="7">
        <v>1</v>
      </c>
      <c r="M56" s="7">
        <v>1</v>
      </c>
      <c r="N56" s="6"/>
    </row>
    <row r="57" spans="2:14" x14ac:dyDescent="0.4">
      <c r="B57" s="6">
        <v>54</v>
      </c>
      <c r="C57" s="26" t="s">
        <v>321</v>
      </c>
      <c r="D57" s="7">
        <v>1</v>
      </c>
      <c r="E57" s="7">
        <v>1</v>
      </c>
      <c r="F57" s="7">
        <v>1</v>
      </c>
      <c r="G57" s="7"/>
      <c r="H57" s="7"/>
      <c r="I57" s="7"/>
      <c r="J57" s="7">
        <v>1</v>
      </c>
      <c r="K57" s="7">
        <v>1</v>
      </c>
      <c r="L57" s="7"/>
      <c r="M57" s="7"/>
      <c r="N57" s="6"/>
    </row>
    <row r="58" spans="2:14" x14ac:dyDescent="0.4">
      <c r="B58" s="6">
        <v>55</v>
      </c>
      <c r="C58" s="26" t="s">
        <v>270</v>
      </c>
      <c r="D58" s="7">
        <v>1</v>
      </c>
      <c r="E58" s="7">
        <v>1</v>
      </c>
      <c r="F58" s="7">
        <v>1</v>
      </c>
      <c r="G58" s="7"/>
      <c r="H58" s="7"/>
      <c r="I58" s="7"/>
      <c r="J58" s="7">
        <v>1</v>
      </c>
      <c r="K58" s="7"/>
      <c r="L58" s="7"/>
      <c r="M58" s="7"/>
      <c r="N58" s="6"/>
    </row>
    <row r="59" spans="2:14" x14ac:dyDescent="0.4">
      <c r="B59" s="6">
        <v>56</v>
      </c>
      <c r="C59" s="26" t="s">
        <v>272</v>
      </c>
      <c r="D59" s="7">
        <v>1</v>
      </c>
      <c r="E59" s="7">
        <v>1</v>
      </c>
      <c r="F59" s="7">
        <v>1</v>
      </c>
      <c r="G59" s="7"/>
      <c r="H59" s="7"/>
      <c r="I59" s="7"/>
      <c r="J59" s="7">
        <v>1</v>
      </c>
      <c r="K59" s="7">
        <v>1</v>
      </c>
      <c r="L59" s="7"/>
      <c r="M59" s="7"/>
      <c r="N59" s="6"/>
    </row>
    <row r="60" spans="2:14" x14ac:dyDescent="0.4">
      <c r="B60" s="6">
        <v>57</v>
      </c>
      <c r="C60" s="26" t="s">
        <v>274</v>
      </c>
      <c r="D60" s="7">
        <v>1</v>
      </c>
      <c r="E60" s="7">
        <v>1</v>
      </c>
      <c r="F60" s="7"/>
      <c r="G60" s="7"/>
      <c r="H60" s="7"/>
      <c r="I60" s="7"/>
      <c r="J60" s="7"/>
      <c r="K60" s="7"/>
      <c r="L60" s="7"/>
      <c r="M60" s="7"/>
      <c r="N60" s="6"/>
    </row>
    <row r="61" spans="2:14" x14ac:dyDescent="0.4">
      <c r="B61" s="6">
        <v>58</v>
      </c>
      <c r="C61" s="26" t="s">
        <v>276</v>
      </c>
      <c r="D61" s="7">
        <v>1</v>
      </c>
      <c r="E61" s="7">
        <v>1</v>
      </c>
      <c r="F61" s="7">
        <v>1</v>
      </c>
      <c r="G61" s="7"/>
      <c r="H61" s="7"/>
      <c r="I61" s="7"/>
      <c r="J61" s="7">
        <v>1</v>
      </c>
      <c r="K61" s="7">
        <v>1</v>
      </c>
      <c r="L61" s="7"/>
      <c r="M61" s="7"/>
      <c r="N61" s="6"/>
    </row>
    <row r="62" spans="2:14" x14ac:dyDescent="0.4">
      <c r="B62" s="6">
        <v>59</v>
      </c>
      <c r="C62" s="26" t="s">
        <v>234</v>
      </c>
      <c r="D62" s="7"/>
      <c r="E62" s="7">
        <v>1</v>
      </c>
      <c r="F62" s="7"/>
      <c r="G62" s="7"/>
      <c r="H62" s="7"/>
      <c r="I62" s="7"/>
      <c r="J62" s="7"/>
      <c r="K62" s="7"/>
      <c r="L62" s="7"/>
      <c r="M62" s="7"/>
      <c r="N62" s="6"/>
    </row>
    <row r="63" spans="2:14" x14ac:dyDescent="0.4">
      <c r="B63" s="6">
        <v>60</v>
      </c>
      <c r="C63" s="26" t="s">
        <v>188</v>
      </c>
      <c r="D63" s="7"/>
      <c r="E63" s="7">
        <v>1</v>
      </c>
      <c r="F63" s="7"/>
      <c r="G63" s="7"/>
      <c r="H63" s="7"/>
      <c r="I63" s="7"/>
      <c r="J63" s="6"/>
      <c r="K63" s="6"/>
      <c r="L63" s="6"/>
      <c r="M63" s="6"/>
      <c r="N63" s="6"/>
    </row>
    <row r="64" spans="2:14" x14ac:dyDescent="0.4">
      <c r="B64" s="6">
        <v>61</v>
      </c>
      <c r="C64" s="26" t="s">
        <v>188</v>
      </c>
      <c r="D64" s="7">
        <v>1</v>
      </c>
      <c r="E64" s="7">
        <v>1</v>
      </c>
      <c r="F64" s="7">
        <v>1</v>
      </c>
      <c r="G64" s="7"/>
      <c r="H64" s="7">
        <v>1</v>
      </c>
      <c r="I64" s="7"/>
      <c r="J64" s="6">
        <v>1</v>
      </c>
      <c r="K64" s="6">
        <v>1</v>
      </c>
      <c r="L64" s="6"/>
      <c r="M64" s="6"/>
      <c r="N64" s="6"/>
    </row>
    <row r="65" spans="2:14" x14ac:dyDescent="0.4">
      <c r="B65" s="6">
        <v>62</v>
      </c>
      <c r="C65" s="26" t="s">
        <v>278</v>
      </c>
      <c r="D65" s="7">
        <v>1</v>
      </c>
      <c r="E65" s="7">
        <v>1</v>
      </c>
      <c r="F65" s="7">
        <v>1</v>
      </c>
      <c r="G65" s="7"/>
      <c r="H65" s="7"/>
      <c r="I65" s="7"/>
      <c r="J65" s="6">
        <v>1</v>
      </c>
      <c r="K65" s="6">
        <v>1</v>
      </c>
      <c r="L65" s="6"/>
      <c r="M65" s="6"/>
      <c r="N65" s="6"/>
    </row>
    <row r="66" spans="2:14" x14ac:dyDescent="0.4">
      <c r="B66" s="6">
        <v>63</v>
      </c>
      <c r="C66" s="26" t="s">
        <v>322</v>
      </c>
      <c r="D66" s="6">
        <v>1</v>
      </c>
      <c r="E66" s="7">
        <v>1</v>
      </c>
      <c r="F66" s="6">
        <v>1</v>
      </c>
      <c r="G66" s="6"/>
      <c r="H66" s="6"/>
      <c r="I66" s="6"/>
      <c r="J66" s="7">
        <v>1</v>
      </c>
      <c r="K66" s="6">
        <v>1</v>
      </c>
      <c r="L66" s="6"/>
      <c r="M66" s="6"/>
      <c r="N66" s="6"/>
    </row>
    <row r="67" spans="2:14" x14ac:dyDescent="0.4">
      <c r="B67" s="6">
        <v>64</v>
      </c>
      <c r="C67" s="26" t="s">
        <v>281</v>
      </c>
      <c r="D67" s="6">
        <v>1</v>
      </c>
      <c r="E67" s="7">
        <v>1</v>
      </c>
      <c r="F67" s="6"/>
      <c r="G67" s="6"/>
      <c r="H67" s="6"/>
      <c r="I67" s="6"/>
      <c r="J67" s="7"/>
      <c r="K67" s="6"/>
      <c r="L67" s="6"/>
      <c r="M67" s="6"/>
      <c r="N67" s="6"/>
    </row>
    <row r="68" spans="2:14" x14ac:dyDescent="0.4">
      <c r="B68" s="6">
        <v>65</v>
      </c>
      <c r="C68" s="26" t="s">
        <v>283</v>
      </c>
      <c r="D68" s="6">
        <v>1</v>
      </c>
      <c r="E68" s="7">
        <v>1</v>
      </c>
      <c r="F68" s="6"/>
      <c r="G68" s="6"/>
      <c r="H68" s="6"/>
      <c r="I68" s="6"/>
      <c r="J68" s="7"/>
      <c r="K68" s="6"/>
      <c r="L68" s="6"/>
      <c r="M68" s="6"/>
      <c r="N68" s="6"/>
    </row>
    <row r="69" spans="2:14" x14ac:dyDescent="0.4">
      <c r="B69" s="6">
        <v>66</v>
      </c>
      <c r="C69" s="26" t="s">
        <v>323</v>
      </c>
      <c r="D69" s="6">
        <v>1</v>
      </c>
      <c r="E69" s="7">
        <v>1</v>
      </c>
      <c r="F69" s="6">
        <v>1</v>
      </c>
      <c r="G69" s="6"/>
      <c r="H69" s="6"/>
      <c r="I69" s="6"/>
      <c r="J69" s="7">
        <v>1</v>
      </c>
      <c r="K69" s="6"/>
      <c r="L69" s="6"/>
      <c r="M69" s="6"/>
      <c r="N69" s="6"/>
    </row>
    <row r="70" spans="2:14" x14ac:dyDescent="0.4">
      <c r="B70" s="6">
        <v>67</v>
      </c>
      <c r="C70" s="26" t="s">
        <v>286</v>
      </c>
      <c r="D70" s="6">
        <v>1</v>
      </c>
      <c r="E70" s="7">
        <v>1</v>
      </c>
      <c r="F70" s="6">
        <v>1</v>
      </c>
      <c r="G70" s="6"/>
      <c r="H70" s="6"/>
      <c r="I70" s="6"/>
      <c r="J70" s="7">
        <v>1</v>
      </c>
      <c r="K70" s="6"/>
      <c r="L70" s="6"/>
      <c r="M70" s="6"/>
      <c r="N70" s="6"/>
    </row>
    <row r="71" spans="2:14" x14ac:dyDescent="0.4">
      <c r="B71" s="6">
        <v>68</v>
      </c>
      <c r="C71" s="26" t="s">
        <v>288</v>
      </c>
      <c r="D71" s="7">
        <v>1</v>
      </c>
      <c r="E71" s="7">
        <v>1</v>
      </c>
      <c r="F71" s="7">
        <v>1</v>
      </c>
      <c r="G71" s="7"/>
      <c r="H71" s="7">
        <v>1</v>
      </c>
      <c r="I71" s="7"/>
      <c r="J71" s="7">
        <v>1</v>
      </c>
      <c r="K71" s="6"/>
      <c r="L71" s="6"/>
      <c r="M71" s="6"/>
      <c r="N71" s="6"/>
    </row>
    <row r="72" spans="2:14" x14ac:dyDescent="0.4">
      <c r="B72" s="6">
        <v>69</v>
      </c>
      <c r="C72" s="26" t="s">
        <v>290</v>
      </c>
      <c r="D72" s="7">
        <v>1</v>
      </c>
      <c r="E72" s="7">
        <v>1</v>
      </c>
      <c r="F72" s="7"/>
      <c r="G72" s="7"/>
      <c r="H72" s="7"/>
      <c r="I72" s="7"/>
      <c r="J72" s="7"/>
      <c r="K72" s="6">
        <v>1</v>
      </c>
      <c r="L72" s="6"/>
      <c r="M72" s="6"/>
      <c r="N72" s="6"/>
    </row>
    <row r="73" spans="2:14" x14ac:dyDescent="0.4">
      <c r="B73" s="6">
        <v>70</v>
      </c>
      <c r="C73" s="26" t="s">
        <v>324</v>
      </c>
      <c r="D73" s="6">
        <v>1</v>
      </c>
      <c r="E73" s="7">
        <v>1</v>
      </c>
      <c r="F73" s="6">
        <v>1</v>
      </c>
      <c r="G73" s="6"/>
      <c r="H73" s="6"/>
      <c r="I73" s="6"/>
      <c r="J73" s="7">
        <v>1</v>
      </c>
      <c r="K73" s="6"/>
      <c r="L73" s="6"/>
      <c r="M73" s="6"/>
      <c r="N73" s="6"/>
    </row>
    <row r="74" spans="2:14" x14ac:dyDescent="0.4">
      <c r="B74" s="6">
        <v>71</v>
      </c>
      <c r="C74" s="26" t="s">
        <v>293</v>
      </c>
      <c r="D74" s="6">
        <v>1</v>
      </c>
      <c r="E74" s="7">
        <v>1</v>
      </c>
      <c r="F74" s="6">
        <v>1</v>
      </c>
      <c r="G74" s="6"/>
      <c r="H74" s="6"/>
      <c r="I74" s="6"/>
      <c r="J74" s="7">
        <v>1</v>
      </c>
      <c r="K74" s="6"/>
      <c r="L74" s="6"/>
      <c r="M74" s="6"/>
      <c r="N74" s="6"/>
    </row>
    <row r="75" spans="2:14" x14ac:dyDescent="0.4">
      <c r="B75" s="6">
        <v>72</v>
      </c>
      <c r="C75" s="26" t="s">
        <v>295</v>
      </c>
      <c r="D75" s="6">
        <v>1</v>
      </c>
      <c r="E75" s="7">
        <v>1</v>
      </c>
      <c r="F75" s="6">
        <v>1</v>
      </c>
      <c r="G75" s="6"/>
      <c r="H75" s="6"/>
      <c r="I75" s="6"/>
      <c r="J75" s="7">
        <v>1</v>
      </c>
      <c r="K75" s="6"/>
      <c r="L75" s="6"/>
      <c r="M75" s="6"/>
      <c r="N75" s="6"/>
    </row>
    <row r="76" spans="2:14" x14ac:dyDescent="0.4">
      <c r="B76" s="6">
        <v>73</v>
      </c>
      <c r="C76" s="26" t="s">
        <v>297</v>
      </c>
      <c r="D76" s="6">
        <v>1</v>
      </c>
      <c r="E76" s="7">
        <v>1</v>
      </c>
      <c r="F76" s="6">
        <v>1</v>
      </c>
      <c r="G76" s="6"/>
      <c r="H76" s="6"/>
      <c r="I76" s="6"/>
      <c r="J76" s="7">
        <v>1</v>
      </c>
      <c r="K76" s="6">
        <v>1</v>
      </c>
      <c r="L76" s="6"/>
      <c r="M76" s="6"/>
      <c r="N76" s="6"/>
    </row>
    <row r="77" spans="2:14" x14ac:dyDescent="0.4">
      <c r="B77" s="6">
        <v>74</v>
      </c>
      <c r="C77" s="26" t="s">
        <v>299</v>
      </c>
      <c r="D77" s="6"/>
      <c r="E77" s="7">
        <v>1</v>
      </c>
      <c r="F77" s="6"/>
      <c r="G77" s="6"/>
      <c r="H77" s="6"/>
      <c r="I77" s="6"/>
      <c r="J77" s="7"/>
      <c r="K77" s="6"/>
      <c r="L77" s="6"/>
      <c r="M77" s="6"/>
      <c r="N77" s="6"/>
    </row>
    <row r="78" spans="2:14" x14ac:dyDescent="0.4">
      <c r="B78" s="6">
        <v>75</v>
      </c>
      <c r="C78" s="26" t="s">
        <v>301</v>
      </c>
      <c r="D78" s="6">
        <v>1</v>
      </c>
      <c r="E78" s="7">
        <v>1</v>
      </c>
      <c r="F78" s="6">
        <v>1</v>
      </c>
      <c r="G78" s="6"/>
      <c r="H78" s="6"/>
      <c r="I78" s="6"/>
      <c r="J78" s="7">
        <v>1</v>
      </c>
      <c r="K78" s="6"/>
      <c r="L78" s="6"/>
      <c r="M78" s="6"/>
      <c r="N78" s="6"/>
    </row>
    <row r="79" spans="2:14" x14ac:dyDescent="0.4">
      <c r="B79" s="6">
        <v>76</v>
      </c>
      <c r="C79" s="26" t="s">
        <v>301</v>
      </c>
      <c r="D79" s="6">
        <v>1</v>
      </c>
      <c r="E79" s="7">
        <v>1</v>
      </c>
      <c r="F79" s="6"/>
      <c r="G79" s="6"/>
      <c r="H79" s="6"/>
      <c r="I79" s="6"/>
      <c r="J79" s="7"/>
      <c r="K79" s="6"/>
      <c r="L79" s="6"/>
      <c r="M79" s="6"/>
      <c r="N79" s="6"/>
    </row>
    <row r="80" spans="2:14" x14ac:dyDescent="0.4">
      <c r="B80" s="6">
        <v>77</v>
      </c>
      <c r="C80" s="26" t="s">
        <v>303</v>
      </c>
      <c r="D80" s="6">
        <v>1</v>
      </c>
      <c r="E80" s="7">
        <v>1</v>
      </c>
      <c r="F80" s="6">
        <v>1</v>
      </c>
      <c r="G80" s="6"/>
      <c r="H80" s="6"/>
      <c r="I80" s="6"/>
      <c r="J80" s="7">
        <v>1</v>
      </c>
      <c r="K80" s="6">
        <v>1</v>
      </c>
      <c r="L80" s="6"/>
      <c r="M80" s="6"/>
      <c r="N80" s="6"/>
    </row>
    <row r="81" spans="2:14" x14ac:dyDescent="0.4">
      <c r="B81" s="6">
        <v>78</v>
      </c>
      <c r="C81" s="26" t="s">
        <v>207</v>
      </c>
      <c r="D81" s="6">
        <v>1</v>
      </c>
      <c r="E81" s="7">
        <v>1</v>
      </c>
      <c r="F81" s="6">
        <v>1</v>
      </c>
      <c r="G81" s="6"/>
      <c r="H81" s="6"/>
      <c r="I81" s="6"/>
      <c r="J81" s="7">
        <v>1</v>
      </c>
      <c r="K81" s="6">
        <v>1</v>
      </c>
      <c r="L81" s="6"/>
      <c r="M81" s="6"/>
      <c r="N81" s="6"/>
    </row>
    <row r="82" spans="2:14" x14ac:dyDescent="0.4">
      <c r="B82" s="6">
        <v>79</v>
      </c>
      <c r="C82" s="26" t="s">
        <v>325</v>
      </c>
      <c r="D82" s="6"/>
      <c r="E82" s="7">
        <v>1</v>
      </c>
      <c r="F82" s="6">
        <v>1</v>
      </c>
      <c r="G82" s="6"/>
      <c r="H82" s="6"/>
      <c r="I82" s="6"/>
      <c r="J82" s="7">
        <v>1</v>
      </c>
      <c r="K82" s="6">
        <v>1</v>
      </c>
      <c r="L82" s="6"/>
      <c r="M82" s="6"/>
      <c r="N82" s="6"/>
    </row>
    <row r="83" spans="2:14" x14ac:dyDescent="0.4">
      <c r="B83" s="6">
        <v>80</v>
      </c>
      <c r="C83" s="26" t="s">
        <v>307</v>
      </c>
      <c r="D83" s="6">
        <v>1</v>
      </c>
      <c r="E83" s="7">
        <v>1</v>
      </c>
      <c r="F83" s="6">
        <v>1</v>
      </c>
      <c r="G83" s="6"/>
      <c r="H83" s="6"/>
      <c r="I83" s="6"/>
      <c r="J83" s="7">
        <v>1</v>
      </c>
      <c r="K83" s="6"/>
      <c r="L83" s="6"/>
      <c r="M83" s="6"/>
      <c r="N83" s="6"/>
    </row>
    <row r="84" spans="2:14" x14ac:dyDescent="0.4">
      <c r="B84" s="6">
        <v>81</v>
      </c>
      <c r="C84" s="26" t="s">
        <v>327</v>
      </c>
      <c r="D84" s="6">
        <v>1</v>
      </c>
      <c r="E84" s="7">
        <v>1</v>
      </c>
      <c r="F84" s="6"/>
      <c r="G84" s="6"/>
      <c r="H84" s="6"/>
      <c r="I84" s="6"/>
      <c r="J84" s="7"/>
      <c r="K84" s="6"/>
      <c r="L84" s="6"/>
      <c r="M84" s="6"/>
      <c r="N84" s="6"/>
    </row>
    <row r="85" spans="2:14" x14ac:dyDescent="0.4">
      <c r="B85" s="6">
        <v>82</v>
      </c>
      <c r="C85" s="26" t="s">
        <v>309</v>
      </c>
      <c r="D85" s="6"/>
      <c r="E85" s="7">
        <v>1</v>
      </c>
      <c r="F85" s="6"/>
      <c r="G85" s="6"/>
      <c r="H85" s="6"/>
      <c r="I85" s="6"/>
      <c r="J85" s="6"/>
      <c r="K85" s="6"/>
      <c r="L85" s="6"/>
      <c r="M85" s="6"/>
      <c r="N85" s="6"/>
    </row>
    <row r="86" spans="2:14" x14ac:dyDescent="0.4">
      <c r="B86" s="6">
        <v>83</v>
      </c>
      <c r="C86" s="26" t="s">
        <v>309</v>
      </c>
      <c r="D86" s="6"/>
      <c r="E86" s="7">
        <v>1</v>
      </c>
      <c r="F86" s="6"/>
      <c r="G86" s="6"/>
      <c r="H86" s="6"/>
      <c r="I86" s="6"/>
      <c r="J86" s="6"/>
      <c r="K86" s="6"/>
      <c r="L86" s="6"/>
      <c r="M86" s="6"/>
      <c r="N86" s="6"/>
    </row>
    <row r="87" spans="2:14" x14ac:dyDescent="0.4">
      <c r="B87" s="6">
        <v>84</v>
      </c>
      <c r="C87" s="26" t="s">
        <v>311</v>
      </c>
      <c r="D87" s="6">
        <v>1</v>
      </c>
      <c r="E87" s="7">
        <v>1</v>
      </c>
      <c r="F87" s="6">
        <v>1</v>
      </c>
      <c r="G87" s="6"/>
      <c r="H87" s="6"/>
      <c r="I87" s="6"/>
      <c r="J87" s="6">
        <v>1</v>
      </c>
      <c r="K87" s="6"/>
      <c r="L87" s="6"/>
      <c r="M87" s="6"/>
      <c r="N87" s="6"/>
    </row>
    <row r="88" spans="2:14" x14ac:dyDescent="0.4">
      <c r="B88" s="6">
        <v>85</v>
      </c>
      <c r="C88" s="26" t="s">
        <v>297</v>
      </c>
      <c r="D88" s="6">
        <v>1</v>
      </c>
      <c r="E88" s="7">
        <v>1</v>
      </c>
      <c r="F88" s="6">
        <v>1</v>
      </c>
      <c r="G88" s="6"/>
      <c r="H88" s="6"/>
      <c r="I88" s="6"/>
      <c r="J88" s="6">
        <v>1</v>
      </c>
      <c r="K88" s="6">
        <v>1</v>
      </c>
      <c r="L88" s="6"/>
      <c r="M88" s="6"/>
      <c r="N88" s="6"/>
    </row>
    <row r="89" spans="2:14" x14ac:dyDescent="0.4">
      <c r="B89" s="6">
        <v>86</v>
      </c>
      <c r="C89" s="26" t="s">
        <v>326</v>
      </c>
      <c r="D89" s="6">
        <v>1</v>
      </c>
      <c r="E89" s="7">
        <v>1</v>
      </c>
      <c r="F89" s="6">
        <v>1</v>
      </c>
      <c r="G89" s="6"/>
      <c r="H89" s="6"/>
      <c r="I89" s="6"/>
      <c r="J89" s="6">
        <v>1</v>
      </c>
      <c r="K89" s="6"/>
      <c r="L89" s="6"/>
      <c r="M89" s="6"/>
      <c r="N89" s="6"/>
    </row>
    <row r="90" spans="2:14" x14ac:dyDescent="0.4">
      <c r="B90" s="6">
        <v>87</v>
      </c>
      <c r="C90" s="26" t="s">
        <v>326</v>
      </c>
      <c r="D90" s="6"/>
      <c r="E90" s="7">
        <v>1</v>
      </c>
      <c r="F90" s="6"/>
      <c r="G90" s="6"/>
      <c r="H90" s="6"/>
      <c r="I90" s="6"/>
      <c r="J90" s="6"/>
      <c r="K90" s="6">
        <v>1</v>
      </c>
      <c r="L90" s="6"/>
      <c r="M90" s="6"/>
      <c r="N90" s="6"/>
    </row>
    <row r="91" spans="2:14" x14ac:dyDescent="0.4">
      <c r="B91" s="6">
        <v>88</v>
      </c>
      <c r="C91" s="26" t="s">
        <v>326</v>
      </c>
      <c r="D91" s="6"/>
      <c r="E91" s="7">
        <v>1</v>
      </c>
      <c r="F91" s="6"/>
      <c r="G91" s="6"/>
      <c r="H91" s="6"/>
      <c r="I91" s="6"/>
      <c r="J91" s="6"/>
      <c r="K91" s="6"/>
      <c r="L91" s="6"/>
      <c r="M91" s="6"/>
      <c r="N91" s="6"/>
    </row>
    <row r="92" spans="2:14" x14ac:dyDescent="0.4">
      <c r="B92" s="6"/>
      <c r="C92" s="26"/>
      <c r="D92" s="6">
        <f>SUM(D4:D91)</f>
        <v>67</v>
      </c>
      <c r="E92" s="6">
        <f>SUM(E4:E91)</f>
        <v>88</v>
      </c>
      <c r="F92" s="6">
        <f>SUM(F4:F91)</f>
        <v>56</v>
      </c>
      <c r="G92" s="6">
        <f>SUM(G4:G91)</f>
        <v>6</v>
      </c>
      <c r="H92" s="6">
        <f t="shared" ref="H92:N92" si="0">SUM(H4:H91)</f>
        <v>6</v>
      </c>
      <c r="I92" s="6">
        <f t="shared" si="0"/>
        <v>0</v>
      </c>
      <c r="J92" s="6">
        <f t="shared" si="0"/>
        <v>56</v>
      </c>
      <c r="K92" s="6">
        <f t="shared" si="0"/>
        <v>37</v>
      </c>
      <c r="L92" s="6">
        <f t="shared" si="0"/>
        <v>2</v>
      </c>
      <c r="M92" s="6">
        <f t="shared" si="0"/>
        <v>1</v>
      </c>
      <c r="N92" s="6">
        <f t="shared" si="0"/>
        <v>4</v>
      </c>
    </row>
    <row r="93" spans="2:14" x14ac:dyDescent="0.4">
      <c r="B93" s="6"/>
      <c r="C93" s="2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</sheetData>
  <mergeCells count="4">
    <mergeCell ref="D2:I2"/>
    <mergeCell ref="B2:B3"/>
    <mergeCell ref="J2:N2"/>
    <mergeCell ref="C2:C3"/>
  </mergeCells>
  <phoneticPr fontId="3"/>
  <conditionalFormatting sqref="D92:I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2:N9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976E-E6E6-4449-80F4-BB5E181E28B5}">
  <dimension ref="B2:AA22"/>
  <sheetViews>
    <sheetView workbookViewId="0">
      <selection activeCell="F32" sqref="F30:F32"/>
    </sheetView>
  </sheetViews>
  <sheetFormatPr defaultRowHeight="12.75" x14ac:dyDescent="0.4"/>
  <cols>
    <col min="1" max="1" width="9" style="1"/>
    <col min="2" max="2" width="17" style="1" customWidth="1"/>
    <col min="3" max="3" width="10.75" style="1" customWidth="1"/>
    <col min="4" max="5" width="9" style="1"/>
    <col min="6" max="27" width="8.625" style="1" customWidth="1"/>
    <col min="28" max="16384" width="9" style="1"/>
  </cols>
  <sheetData>
    <row r="2" spans="2:27" x14ac:dyDescent="0.4">
      <c r="B2" s="28" t="s">
        <v>184</v>
      </c>
      <c r="C2" s="28" t="s">
        <v>130</v>
      </c>
      <c r="D2" s="28"/>
      <c r="E2" s="28" t="s">
        <v>177</v>
      </c>
      <c r="F2" s="23" t="s">
        <v>154</v>
      </c>
      <c r="G2" s="23" t="s">
        <v>155</v>
      </c>
      <c r="H2" s="23" t="s">
        <v>156</v>
      </c>
      <c r="I2" s="23" t="s">
        <v>157</v>
      </c>
      <c r="J2" s="23" t="s">
        <v>158</v>
      </c>
      <c r="K2" s="23" t="s">
        <v>159</v>
      </c>
      <c r="L2" s="23" t="s">
        <v>160</v>
      </c>
      <c r="M2" s="23" t="s">
        <v>161</v>
      </c>
      <c r="N2" s="23" t="s">
        <v>162</v>
      </c>
      <c r="O2" s="23" t="s">
        <v>163</v>
      </c>
      <c r="P2" s="23" t="s">
        <v>164</v>
      </c>
      <c r="Q2" s="23" t="s">
        <v>165</v>
      </c>
      <c r="R2" s="23" t="s">
        <v>166</v>
      </c>
      <c r="S2" s="23" t="s">
        <v>167</v>
      </c>
      <c r="T2" s="23" t="s">
        <v>168</v>
      </c>
      <c r="U2" s="23" t="s">
        <v>169</v>
      </c>
      <c r="V2" s="23" t="s">
        <v>170</v>
      </c>
      <c r="W2" s="23" t="s">
        <v>171</v>
      </c>
      <c r="X2" s="23" t="s">
        <v>172</v>
      </c>
      <c r="Y2" s="23" t="s">
        <v>173</v>
      </c>
      <c r="Z2" s="23" t="s">
        <v>174</v>
      </c>
      <c r="AA2" s="23" t="s">
        <v>175</v>
      </c>
    </row>
    <row r="3" spans="2:27" x14ac:dyDescent="0.4">
      <c r="B3" s="36" t="s">
        <v>185</v>
      </c>
      <c r="C3" s="37" t="s">
        <v>182</v>
      </c>
      <c r="D3" s="24"/>
      <c r="E3" s="12">
        <v>2030</v>
      </c>
      <c r="F3" s="25">
        <v>16</v>
      </c>
      <c r="G3" s="25">
        <v>12</v>
      </c>
      <c r="H3" s="25">
        <v>9</v>
      </c>
      <c r="I3" s="25">
        <v>11</v>
      </c>
      <c r="J3" s="25">
        <v>0</v>
      </c>
      <c r="K3" s="25">
        <v>7</v>
      </c>
      <c r="L3" s="25">
        <v>2</v>
      </c>
      <c r="M3" s="25">
        <v>18</v>
      </c>
      <c r="N3" s="25">
        <v>1</v>
      </c>
      <c r="O3" s="25">
        <v>2</v>
      </c>
      <c r="P3" s="25">
        <v>1</v>
      </c>
      <c r="Q3" s="25">
        <v>16</v>
      </c>
      <c r="R3" s="25">
        <v>3</v>
      </c>
      <c r="S3" s="25">
        <v>15</v>
      </c>
      <c r="T3" s="25">
        <v>13</v>
      </c>
      <c r="U3" s="25">
        <v>2</v>
      </c>
      <c r="V3" s="25">
        <v>10</v>
      </c>
      <c r="W3" s="25">
        <v>9</v>
      </c>
      <c r="X3" s="25">
        <v>3</v>
      </c>
      <c r="Y3" s="25">
        <v>7</v>
      </c>
      <c r="Z3" s="25">
        <v>18</v>
      </c>
      <c r="AA3" s="25">
        <v>4</v>
      </c>
    </row>
    <row r="4" spans="2:27" x14ac:dyDescent="0.4">
      <c r="B4" s="36"/>
      <c r="C4" s="37"/>
      <c r="D4" s="24"/>
      <c r="E4" s="12">
        <v>2050</v>
      </c>
      <c r="F4" s="25">
        <v>18</v>
      </c>
      <c r="G4" s="25">
        <v>12</v>
      </c>
      <c r="H4" s="25">
        <v>9</v>
      </c>
      <c r="I4" s="25">
        <v>11</v>
      </c>
      <c r="J4" s="25">
        <v>3</v>
      </c>
      <c r="K4" s="25">
        <v>8</v>
      </c>
      <c r="L4" s="25">
        <v>2</v>
      </c>
      <c r="M4" s="25">
        <v>18</v>
      </c>
      <c r="N4" s="25">
        <v>1</v>
      </c>
      <c r="O4" s="25">
        <v>2</v>
      </c>
      <c r="P4" s="25">
        <v>1</v>
      </c>
      <c r="Q4" s="25">
        <v>15</v>
      </c>
      <c r="R4" s="25">
        <v>3</v>
      </c>
      <c r="S4" s="25">
        <v>14</v>
      </c>
      <c r="T4" s="25">
        <v>13</v>
      </c>
      <c r="U4" s="25">
        <v>2</v>
      </c>
      <c r="V4" s="25">
        <v>10</v>
      </c>
      <c r="W4" s="25">
        <v>10</v>
      </c>
      <c r="X4" s="25">
        <v>3</v>
      </c>
      <c r="Y4" s="25">
        <v>7</v>
      </c>
      <c r="Z4" s="25">
        <v>21</v>
      </c>
      <c r="AA4" s="25">
        <v>0</v>
      </c>
    </row>
    <row r="5" spans="2:27" x14ac:dyDescent="0.4">
      <c r="B5" s="36"/>
      <c r="C5" s="36" t="s">
        <v>134</v>
      </c>
      <c r="D5" s="24"/>
      <c r="E5" s="12">
        <v>2030</v>
      </c>
      <c r="F5" s="25">
        <v>10</v>
      </c>
      <c r="G5" s="25">
        <v>5</v>
      </c>
      <c r="H5" s="25">
        <v>5</v>
      </c>
      <c r="I5" s="25">
        <v>5</v>
      </c>
      <c r="J5" s="25">
        <v>0</v>
      </c>
      <c r="K5" s="25">
        <v>3</v>
      </c>
      <c r="L5" s="25">
        <v>0</v>
      </c>
      <c r="M5" s="25">
        <v>5</v>
      </c>
      <c r="N5" s="25">
        <v>1</v>
      </c>
      <c r="O5" s="25">
        <v>0</v>
      </c>
      <c r="P5" s="25">
        <v>1</v>
      </c>
      <c r="Q5" s="25">
        <v>11</v>
      </c>
      <c r="R5" s="25">
        <v>1</v>
      </c>
      <c r="S5" s="25">
        <v>9</v>
      </c>
      <c r="T5" s="25">
        <v>5</v>
      </c>
      <c r="U5" s="25">
        <v>1</v>
      </c>
      <c r="V5" s="25">
        <v>4</v>
      </c>
      <c r="W5" s="25">
        <v>4</v>
      </c>
      <c r="X5" s="25">
        <v>3</v>
      </c>
      <c r="Y5" s="25">
        <v>3</v>
      </c>
      <c r="Z5" s="25">
        <v>13</v>
      </c>
      <c r="AA5" s="25">
        <v>1</v>
      </c>
    </row>
    <row r="6" spans="2:27" x14ac:dyDescent="0.4">
      <c r="B6" s="36"/>
      <c r="C6" s="36"/>
      <c r="D6" s="24"/>
      <c r="E6" s="12">
        <v>2050</v>
      </c>
      <c r="F6" s="25">
        <v>10</v>
      </c>
      <c r="G6" s="25">
        <v>5</v>
      </c>
      <c r="H6" s="25">
        <v>5</v>
      </c>
      <c r="I6" s="25">
        <v>4</v>
      </c>
      <c r="J6" s="25">
        <v>2</v>
      </c>
      <c r="K6" s="25">
        <v>3</v>
      </c>
      <c r="L6" s="25">
        <v>2</v>
      </c>
      <c r="M6" s="25">
        <v>4</v>
      </c>
      <c r="N6" s="25">
        <v>1</v>
      </c>
      <c r="O6" s="25">
        <v>2</v>
      </c>
      <c r="P6" s="25">
        <v>1</v>
      </c>
      <c r="Q6" s="25">
        <v>10</v>
      </c>
      <c r="R6" s="25">
        <v>1</v>
      </c>
      <c r="S6" s="25">
        <v>7</v>
      </c>
      <c r="T6" s="25">
        <v>5</v>
      </c>
      <c r="U6" s="25">
        <v>1</v>
      </c>
      <c r="V6" s="25">
        <v>4</v>
      </c>
      <c r="W6" s="25">
        <v>6</v>
      </c>
      <c r="X6" s="25">
        <v>3</v>
      </c>
      <c r="Y6" s="25">
        <v>3</v>
      </c>
      <c r="Z6" s="25">
        <v>15</v>
      </c>
      <c r="AA6" s="25">
        <v>0</v>
      </c>
    </row>
    <row r="7" spans="2:27" x14ac:dyDescent="0.4">
      <c r="B7" s="37" t="s">
        <v>178</v>
      </c>
      <c r="C7" s="37" t="s">
        <v>181</v>
      </c>
      <c r="D7" s="12" t="s">
        <v>179</v>
      </c>
      <c r="E7" s="36">
        <v>2030</v>
      </c>
      <c r="F7" s="25">
        <v>6.5</v>
      </c>
      <c r="G7" s="25">
        <v>12</v>
      </c>
      <c r="H7" s="25">
        <v>0.25</v>
      </c>
      <c r="I7" s="25">
        <v>25</v>
      </c>
      <c r="J7" s="25" t="s">
        <v>176</v>
      </c>
      <c r="K7" s="25">
        <v>22</v>
      </c>
      <c r="L7" s="25">
        <v>1100</v>
      </c>
      <c r="M7" s="25">
        <v>24</v>
      </c>
      <c r="N7" s="25">
        <v>35</v>
      </c>
      <c r="O7" s="25">
        <v>850</v>
      </c>
      <c r="P7" s="25">
        <v>15</v>
      </c>
      <c r="Q7" s="25">
        <v>13</v>
      </c>
      <c r="R7" s="25">
        <v>1100</v>
      </c>
      <c r="S7" s="25">
        <v>150</v>
      </c>
      <c r="T7" s="25">
        <v>350</v>
      </c>
      <c r="U7" s="25">
        <v>0.3</v>
      </c>
      <c r="V7" s="25">
        <v>1.3</v>
      </c>
      <c r="W7" s="25">
        <v>9000</v>
      </c>
      <c r="X7" s="25">
        <v>2.2999999999999998</v>
      </c>
      <c r="Y7" s="25">
        <v>1200</v>
      </c>
      <c r="Z7" s="25">
        <v>600</v>
      </c>
      <c r="AA7" s="25">
        <v>1350</v>
      </c>
    </row>
    <row r="8" spans="2:27" x14ac:dyDescent="0.4">
      <c r="B8" s="37"/>
      <c r="C8" s="37"/>
      <c r="D8" s="12" t="s">
        <v>180</v>
      </c>
      <c r="E8" s="36"/>
      <c r="F8" s="25">
        <v>0.1</v>
      </c>
      <c r="G8" s="25">
        <v>0.8</v>
      </c>
      <c r="H8" s="25">
        <v>1E-3</v>
      </c>
      <c r="I8" s="25">
        <v>0.2</v>
      </c>
      <c r="J8" s="25" t="s">
        <v>176</v>
      </c>
      <c r="K8" s="25">
        <v>0.28000000000000003</v>
      </c>
      <c r="L8" s="25">
        <v>500</v>
      </c>
      <c r="M8" s="25">
        <v>0.2</v>
      </c>
      <c r="N8" s="25" t="s">
        <v>176</v>
      </c>
      <c r="O8" s="25">
        <v>520</v>
      </c>
      <c r="P8" s="25" t="s">
        <v>176</v>
      </c>
      <c r="Q8" s="25">
        <v>0.2</v>
      </c>
      <c r="R8" s="25">
        <v>200</v>
      </c>
      <c r="S8" s="25">
        <v>1.5</v>
      </c>
      <c r="T8" s="25">
        <v>3</v>
      </c>
      <c r="U8" s="25">
        <v>0.3</v>
      </c>
      <c r="V8" s="25">
        <v>0.01</v>
      </c>
      <c r="W8" s="25">
        <v>1000</v>
      </c>
      <c r="X8" s="25">
        <v>0.3</v>
      </c>
      <c r="Y8" s="25">
        <v>200</v>
      </c>
      <c r="Z8" s="25">
        <v>15</v>
      </c>
      <c r="AA8" s="25">
        <v>450</v>
      </c>
    </row>
    <row r="9" spans="2:27" x14ac:dyDescent="0.4">
      <c r="B9" s="37"/>
      <c r="C9" s="37"/>
      <c r="D9" s="12" t="s">
        <v>179</v>
      </c>
      <c r="E9" s="36">
        <v>2050</v>
      </c>
      <c r="F9" s="25">
        <v>8</v>
      </c>
      <c r="G9" s="25">
        <v>26</v>
      </c>
      <c r="H9" s="25">
        <v>1.3</v>
      </c>
      <c r="I9" s="25">
        <v>25</v>
      </c>
      <c r="J9" s="25">
        <v>2000</v>
      </c>
      <c r="K9" s="25">
        <v>22</v>
      </c>
      <c r="L9" s="25">
        <v>3270</v>
      </c>
      <c r="M9" s="25">
        <v>24</v>
      </c>
      <c r="N9" s="25">
        <v>70</v>
      </c>
      <c r="O9" s="25">
        <v>4160</v>
      </c>
      <c r="P9" s="25">
        <v>25</v>
      </c>
      <c r="Q9" s="25">
        <v>45</v>
      </c>
      <c r="R9" s="25">
        <v>4000</v>
      </c>
      <c r="S9" s="25">
        <v>270</v>
      </c>
      <c r="T9" s="25">
        <v>1280</v>
      </c>
      <c r="U9" s="25">
        <v>2.5</v>
      </c>
      <c r="V9" s="25">
        <v>1.3</v>
      </c>
      <c r="W9" s="25">
        <v>17200</v>
      </c>
      <c r="X9" s="25">
        <v>3.2</v>
      </c>
      <c r="Y9" s="25">
        <v>4500</v>
      </c>
      <c r="Z9" s="25">
        <v>2000</v>
      </c>
      <c r="AA9" s="25">
        <v>1830</v>
      </c>
    </row>
    <row r="10" spans="2:27" x14ac:dyDescent="0.4">
      <c r="B10" s="37"/>
      <c r="C10" s="37"/>
      <c r="D10" s="12" t="s">
        <v>180</v>
      </c>
      <c r="E10" s="36"/>
      <c r="F10" s="25">
        <v>0.03</v>
      </c>
      <c r="G10" s="25">
        <v>0.8</v>
      </c>
      <c r="H10" s="25">
        <v>6.0000000000000001E-3</v>
      </c>
      <c r="I10" s="25">
        <v>0.2</v>
      </c>
      <c r="J10" s="25">
        <v>1400</v>
      </c>
      <c r="K10" s="25">
        <v>0.5</v>
      </c>
      <c r="L10" s="25">
        <v>200</v>
      </c>
      <c r="M10" s="25">
        <v>0.25</v>
      </c>
      <c r="N10" s="25" t="s">
        <v>176</v>
      </c>
      <c r="O10" s="25">
        <v>8701</v>
      </c>
      <c r="P10" s="25" t="s">
        <v>176</v>
      </c>
      <c r="Q10" s="25">
        <v>0.05</v>
      </c>
      <c r="R10" s="25">
        <v>500</v>
      </c>
      <c r="S10" s="25">
        <v>0.09</v>
      </c>
      <c r="T10" s="25">
        <v>6</v>
      </c>
      <c r="U10" s="25">
        <v>2.5</v>
      </c>
      <c r="V10" s="25">
        <v>0.02</v>
      </c>
      <c r="W10" s="25">
        <v>1000</v>
      </c>
      <c r="X10" s="25">
        <v>0.65</v>
      </c>
      <c r="Y10" s="25">
        <v>200</v>
      </c>
      <c r="Z10" s="25">
        <v>0.4</v>
      </c>
      <c r="AA10" s="25">
        <v>820</v>
      </c>
    </row>
    <row r="11" spans="2:27" x14ac:dyDescent="0.4">
      <c r="B11" s="37"/>
      <c r="C11" s="36" t="s">
        <v>134</v>
      </c>
      <c r="D11" s="12" t="s">
        <v>179</v>
      </c>
      <c r="E11" s="36">
        <v>2030</v>
      </c>
      <c r="F11" s="25">
        <v>8.25</v>
      </c>
      <c r="G11" s="25">
        <v>60</v>
      </c>
      <c r="H11" s="25">
        <v>0.5</v>
      </c>
      <c r="I11" s="25">
        <v>23</v>
      </c>
      <c r="J11" s="25" t="s">
        <v>176</v>
      </c>
      <c r="K11" s="25">
        <v>50</v>
      </c>
      <c r="L11" s="25" t="s">
        <v>176</v>
      </c>
      <c r="M11" s="25">
        <v>20.8</v>
      </c>
      <c r="N11" s="25">
        <v>300</v>
      </c>
      <c r="O11" s="25" t="s">
        <v>176</v>
      </c>
      <c r="P11" s="25">
        <v>270</v>
      </c>
      <c r="Q11" s="25">
        <v>15</v>
      </c>
      <c r="R11" s="25">
        <v>18000</v>
      </c>
      <c r="S11" s="25">
        <v>220</v>
      </c>
      <c r="T11" s="25">
        <v>440</v>
      </c>
      <c r="U11" s="25">
        <v>0.5</v>
      </c>
      <c r="V11" s="25">
        <v>2.8</v>
      </c>
      <c r="W11" s="25">
        <v>57000</v>
      </c>
      <c r="X11" s="25">
        <v>4.7</v>
      </c>
      <c r="Y11" s="25">
        <v>4600</v>
      </c>
      <c r="Z11" s="25">
        <v>700</v>
      </c>
      <c r="AA11" s="25">
        <v>12200</v>
      </c>
    </row>
    <row r="12" spans="2:27" x14ac:dyDescent="0.4">
      <c r="B12" s="37"/>
      <c r="C12" s="36"/>
      <c r="D12" s="12" t="s">
        <v>180</v>
      </c>
      <c r="E12" s="36"/>
      <c r="F12" s="25">
        <v>0.85</v>
      </c>
      <c r="G12" s="25">
        <v>28</v>
      </c>
      <c r="H12" s="25">
        <v>0.28000000000000003</v>
      </c>
      <c r="I12" s="25">
        <v>1.7</v>
      </c>
      <c r="J12" s="25" t="s">
        <v>176</v>
      </c>
      <c r="K12" s="25">
        <v>30</v>
      </c>
      <c r="L12" s="25" t="s">
        <v>176</v>
      </c>
      <c r="M12" s="25">
        <v>0.3</v>
      </c>
      <c r="N12" s="25" t="s">
        <v>176</v>
      </c>
      <c r="O12" s="25" t="s">
        <v>176</v>
      </c>
      <c r="P12" s="25" t="s">
        <v>176</v>
      </c>
      <c r="Q12" s="25">
        <v>3.5</v>
      </c>
      <c r="R12" s="25" t="s">
        <v>176</v>
      </c>
      <c r="S12" s="25">
        <v>40</v>
      </c>
      <c r="T12" s="25">
        <v>200</v>
      </c>
      <c r="U12" s="25" t="s">
        <v>176</v>
      </c>
      <c r="V12" s="25">
        <v>0.5</v>
      </c>
      <c r="W12" s="25">
        <v>30000</v>
      </c>
      <c r="X12" s="25">
        <v>1.5</v>
      </c>
      <c r="Y12" s="25">
        <v>3200</v>
      </c>
      <c r="Z12" s="25">
        <v>60</v>
      </c>
      <c r="AA12" s="25" t="s">
        <v>176</v>
      </c>
    </row>
    <row r="13" spans="2:27" x14ac:dyDescent="0.4">
      <c r="B13" s="37"/>
      <c r="C13" s="36"/>
      <c r="D13" s="12" t="s">
        <v>179</v>
      </c>
      <c r="E13" s="36">
        <v>2050</v>
      </c>
      <c r="F13" s="25">
        <v>9</v>
      </c>
      <c r="G13" s="25">
        <v>127</v>
      </c>
      <c r="H13" s="25">
        <v>1.7</v>
      </c>
      <c r="I13" s="25">
        <v>28</v>
      </c>
      <c r="J13" s="25">
        <v>7650</v>
      </c>
      <c r="K13" s="25">
        <v>93</v>
      </c>
      <c r="L13" s="25">
        <v>22490</v>
      </c>
      <c r="M13" s="25">
        <v>17</v>
      </c>
      <c r="N13" s="25">
        <v>340</v>
      </c>
      <c r="O13" s="25">
        <v>14580</v>
      </c>
      <c r="P13" s="25">
        <v>280</v>
      </c>
      <c r="Q13" s="25">
        <v>50</v>
      </c>
      <c r="R13" s="25">
        <v>18000</v>
      </c>
      <c r="S13" s="25">
        <v>240</v>
      </c>
      <c r="T13" s="25">
        <v>1260</v>
      </c>
      <c r="U13" s="25">
        <v>2.8</v>
      </c>
      <c r="V13" s="25">
        <v>5.25</v>
      </c>
      <c r="W13" s="25">
        <v>120000</v>
      </c>
      <c r="X13" s="25">
        <v>6.6</v>
      </c>
      <c r="Y13" s="25">
        <v>10000</v>
      </c>
      <c r="Z13" s="25">
        <v>1630</v>
      </c>
      <c r="AA13" s="25" t="s">
        <v>176</v>
      </c>
    </row>
    <row r="14" spans="2:27" x14ac:dyDescent="0.4">
      <c r="B14" s="37"/>
      <c r="C14" s="36"/>
      <c r="D14" s="12" t="s">
        <v>180</v>
      </c>
      <c r="E14" s="36"/>
      <c r="F14" s="25">
        <v>1.2</v>
      </c>
      <c r="G14" s="25">
        <v>38</v>
      </c>
      <c r="H14" s="25">
        <v>0.7</v>
      </c>
      <c r="I14" s="25">
        <v>2.1</v>
      </c>
      <c r="J14" s="25">
        <v>7460</v>
      </c>
      <c r="K14" s="25">
        <v>60</v>
      </c>
      <c r="L14" s="25">
        <v>22360</v>
      </c>
      <c r="M14" s="25">
        <v>1.6</v>
      </c>
      <c r="N14" s="25" t="s">
        <v>176</v>
      </c>
      <c r="O14" s="25">
        <v>14480</v>
      </c>
      <c r="P14" s="25" t="s">
        <v>176</v>
      </c>
      <c r="Q14" s="25">
        <v>3.23</v>
      </c>
      <c r="R14" s="25" t="s">
        <v>176</v>
      </c>
      <c r="S14" s="25">
        <v>60</v>
      </c>
      <c r="T14" s="25">
        <v>420</v>
      </c>
      <c r="U14" s="25" t="s">
        <v>176</v>
      </c>
      <c r="V14" s="25">
        <v>0.85</v>
      </c>
      <c r="W14" s="25">
        <v>27000</v>
      </c>
      <c r="X14" s="25">
        <v>1.8</v>
      </c>
      <c r="Y14" s="25">
        <v>4500</v>
      </c>
      <c r="Z14" s="25">
        <v>200</v>
      </c>
      <c r="AA14" s="25" t="s">
        <v>176</v>
      </c>
    </row>
    <row r="15" spans="2:27" x14ac:dyDescent="0.4">
      <c r="B15" s="38" t="s">
        <v>183</v>
      </c>
      <c r="C15" s="38" t="s">
        <v>181</v>
      </c>
      <c r="D15" s="6" t="s">
        <v>179</v>
      </c>
      <c r="E15" s="39">
        <v>2030</v>
      </c>
      <c r="F15" s="25">
        <v>8.4525357607282174</v>
      </c>
      <c r="G15" s="25">
        <v>0.4780876494023904</v>
      </c>
      <c r="H15" s="25">
        <v>1.3038421620832268</v>
      </c>
      <c r="I15" s="25">
        <v>11.363636363636363</v>
      </c>
      <c r="J15" s="25" t="s">
        <v>176</v>
      </c>
      <c r="K15" s="25">
        <v>0.94827586206896552</v>
      </c>
      <c r="L15" s="25">
        <v>0.11752136752136752</v>
      </c>
      <c r="M15" s="25">
        <v>143.7125748502994</v>
      </c>
      <c r="N15" s="25">
        <v>0.12027491408934708</v>
      </c>
      <c r="O15" s="25">
        <v>6.640625E-2</v>
      </c>
      <c r="P15" s="25">
        <v>6.3829787234042548E-2</v>
      </c>
      <c r="Q15" s="25">
        <v>7.3989755264655663</v>
      </c>
      <c r="R15" s="25">
        <v>6.2857142857142861E-2</v>
      </c>
      <c r="S15" s="25">
        <v>7.3803413119486629</v>
      </c>
      <c r="T15" s="25">
        <v>2.7777777777777777</v>
      </c>
      <c r="U15" s="25">
        <v>1.875</v>
      </c>
      <c r="V15" s="25">
        <v>2.7718550106609809</v>
      </c>
      <c r="W15" s="25">
        <v>0.47120418848167539</v>
      </c>
      <c r="X15" s="25">
        <v>1.9658119658119657</v>
      </c>
      <c r="Y15" s="25">
        <v>0.52631578947368418</v>
      </c>
      <c r="Z15" s="25">
        <v>19.047619047619047</v>
      </c>
      <c r="AA15" s="25">
        <v>0.17693315858453473</v>
      </c>
    </row>
    <row r="16" spans="2:27" x14ac:dyDescent="0.4">
      <c r="B16" s="38"/>
      <c r="C16" s="38"/>
      <c r="D16" s="6" t="s">
        <v>180</v>
      </c>
      <c r="E16" s="39"/>
      <c r="F16" s="25">
        <v>0.13003901170351106</v>
      </c>
      <c r="G16" s="25">
        <v>3.1872509960159362E-2</v>
      </c>
      <c r="H16" s="25">
        <v>5.2153686483329079E-3</v>
      </c>
      <c r="I16" s="25">
        <v>9.0909090909090912E-2</v>
      </c>
      <c r="J16" s="25" t="s">
        <v>176</v>
      </c>
      <c r="K16" s="25">
        <v>1.2068965517241381E-2</v>
      </c>
      <c r="L16" s="25">
        <v>5.3418803418803416E-2</v>
      </c>
      <c r="M16" s="25">
        <v>1.1976047904191616</v>
      </c>
      <c r="N16" s="25" t="s">
        <v>176</v>
      </c>
      <c r="O16" s="25">
        <v>4.0625000000000001E-2</v>
      </c>
      <c r="P16" s="25" t="s">
        <v>176</v>
      </c>
      <c r="Q16" s="25">
        <v>0.11383039271485489</v>
      </c>
      <c r="R16" s="25">
        <v>1.1428571428571429E-2</v>
      </c>
      <c r="S16" s="25">
        <v>7.3803413119486627E-2</v>
      </c>
      <c r="T16" s="25">
        <v>2.3809523809523808E-2</v>
      </c>
      <c r="U16" s="25">
        <v>1.875</v>
      </c>
      <c r="V16" s="25">
        <v>2.1321961620469086E-2</v>
      </c>
      <c r="W16" s="25">
        <v>5.2356020942408377E-2</v>
      </c>
      <c r="X16" s="25">
        <v>0.25641025641025644</v>
      </c>
      <c r="Y16" s="25">
        <v>8.771929824561403E-2</v>
      </c>
      <c r="Z16" s="25">
        <v>0.47619047619047616</v>
      </c>
      <c r="AA16" s="25">
        <v>5.8977719528178242E-2</v>
      </c>
    </row>
    <row r="17" spans="2:27" x14ac:dyDescent="0.4">
      <c r="B17" s="38"/>
      <c r="C17" s="38"/>
      <c r="D17" s="6" t="s">
        <v>179</v>
      </c>
      <c r="E17" s="39">
        <v>2050</v>
      </c>
      <c r="F17" s="25">
        <v>10.403120936280883</v>
      </c>
      <c r="G17" s="25">
        <v>1.0358565737051793</v>
      </c>
      <c r="H17" s="25">
        <v>6.7799792428327796</v>
      </c>
      <c r="I17" s="25">
        <v>11.363636363636363</v>
      </c>
      <c r="J17" s="25">
        <v>0.40404040404040403</v>
      </c>
      <c r="K17" s="25">
        <v>0.94827586206896552</v>
      </c>
      <c r="L17" s="25">
        <v>0.34935897435897434</v>
      </c>
      <c r="M17" s="25">
        <v>143.7125748502994</v>
      </c>
      <c r="N17" s="25">
        <v>0.24054982817869416</v>
      </c>
      <c r="O17" s="25">
        <v>0.32500000000000001</v>
      </c>
      <c r="P17" s="25">
        <v>0.10638297872340426</v>
      </c>
      <c r="Q17" s="25">
        <v>25.611838360842345</v>
      </c>
      <c r="R17" s="25">
        <v>0.22857142857142856</v>
      </c>
      <c r="S17" s="25">
        <v>13.284614361507593</v>
      </c>
      <c r="T17" s="25">
        <v>10.158730158730158</v>
      </c>
      <c r="U17" s="25">
        <v>15.625</v>
      </c>
      <c r="V17" s="25">
        <v>2.7718550106609809</v>
      </c>
      <c r="W17" s="25">
        <v>0.90052356020942403</v>
      </c>
      <c r="X17" s="25">
        <v>2.7350427350427355</v>
      </c>
      <c r="Y17" s="25">
        <v>1.9736842105263157</v>
      </c>
      <c r="Z17" s="25">
        <v>63.492063492063494</v>
      </c>
      <c r="AA17" s="25">
        <v>0.2398427260812582</v>
      </c>
    </row>
    <row r="18" spans="2:27" x14ac:dyDescent="0.4">
      <c r="B18" s="38"/>
      <c r="C18" s="38"/>
      <c r="D18" s="6" t="s">
        <v>180</v>
      </c>
      <c r="E18" s="39"/>
      <c r="F18" s="25">
        <v>3.9011703511053313E-2</v>
      </c>
      <c r="G18" s="25">
        <v>3.1872509960159362E-2</v>
      </c>
      <c r="H18" s="25">
        <v>3.1292211889997444E-2</v>
      </c>
      <c r="I18" s="25">
        <v>9.0909090909090912E-2</v>
      </c>
      <c r="J18" s="25">
        <v>0.28282828282828282</v>
      </c>
      <c r="K18" s="25">
        <v>2.1551724137931036E-2</v>
      </c>
      <c r="L18" s="25">
        <v>2.1367521367521368E-2</v>
      </c>
      <c r="M18" s="25">
        <v>1.4970059880239519</v>
      </c>
      <c r="N18" s="25" t="s">
        <v>176</v>
      </c>
      <c r="O18" s="25">
        <v>0.67976562500000004</v>
      </c>
      <c r="P18" s="25" t="s">
        <v>176</v>
      </c>
      <c r="Q18" s="25">
        <v>2.8457598178713722E-2</v>
      </c>
      <c r="R18" s="25">
        <v>2.8571428571428571E-2</v>
      </c>
      <c r="S18" s="25">
        <v>4.4282047871691977E-3</v>
      </c>
      <c r="T18" s="25">
        <v>4.7619047619047616E-2</v>
      </c>
      <c r="U18" s="25">
        <v>15.625</v>
      </c>
      <c r="V18" s="25">
        <v>4.2643923240938172E-2</v>
      </c>
      <c r="W18" s="25">
        <v>5.2356020942408377E-2</v>
      </c>
      <c r="X18" s="25">
        <v>0.55555555555555558</v>
      </c>
      <c r="Y18" s="25">
        <v>8.771929824561403E-2</v>
      </c>
      <c r="Z18" s="25">
        <v>1.2698412698412698E-2</v>
      </c>
      <c r="AA18" s="25">
        <v>0.10747051114023591</v>
      </c>
    </row>
    <row r="19" spans="2:27" x14ac:dyDescent="0.4">
      <c r="B19" s="38"/>
      <c r="C19" s="39" t="s">
        <v>134</v>
      </c>
      <c r="D19" s="6" t="s">
        <v>179</v>
      </c>
      <c r="E19" s="39">
        <v>2030</v>
      </c>
      <c r="F19" s="25">
        <v>10.728218465539662</v>
      </c>
      <c r="G19" s="25">
        <v>2.3904382470119518</v>
      </c>
      <c r="H19" s="25">
        <v>2.6076843241664536</v>
      </c>
      <c r="I19" s="25">
        <v>10.454545454545453</v>
      </c>
      <c r="J19" s="25" t="s">
        <v>176</v>
      </c>
      <c r="K19" s="25">
        <v>2.1551724137931036</v>
      </c>
      <c r="L19" s="25" t="s">
        <v>176</v>
      </c>
      <c r="M19" s="25">
        <v>124.55089820359281</v>
      </c>
      <c r="N19" s="25">
        <v>1.0309278350515463</v>
      </c>
      <c r="O19" s="25" t="s">
        <v>176</v>
      </c>
      <c r="P19" s="25">
        <v>1.1489361702127661</v>
      </c>
      <c r="Q19" s="25">
        <v>8.537279453614115</v>
      </c>
      <c r="R19" s="25">
        <v>1.0285714285714285</v>
      </c>
      <c r="S19" s="25">
        <v>10.824500590858039</v>
      </c>
      <c r="T19" s="25">
        <v>3.4920634920634921</v>
      </c>
      <c r="U19" s="25">
        <v>3.125</v>
      </c>
      <c r="V19" s="25">
        <v>5.9701492537313436</v>
      </c>
      <c r="W19" s="25">
        <v>2.9842931937172774</v>
      </c>
      <c r="X19" s="25">
        <v>4.0170940170940179</v>
      </c>
      <c r="Y19" s="25">
        <v>2.0175438596491229</v>
      </c>
      <c r="Z19" s="25">
        <v>22.222222222222221</v>
      </c>
      <c r="AA19" s="25">
        <v>1.598951507208388</v>
      </c>
    </row>
    <row r="20" spans="2:27" x14ac:dyDescent="0.4">
      <c r="B20" s="38"/>
      <c r="C20" s="39"/>
      <c r="D20" s="6" t="s">
        <v>180</v>
      </c>
      <c r="E20" s="39"/>
      <c r="F20" s="25">
        <v>1.1053315994798438</v>
      </c>
      <c r="G20" s="25">
        <v>1.1155378486055776</v>
      </c>
      <c r="H20" s="25">
        <v>1.4603032215332143</v>
      </c>
      <c r="I20" s="25">
        <v>0.7727272727272726</v>
      </c>
      <c r="J20" s="25" t="s">
        <v>176</v>
      </c>
      <c r="K20" s="25">
        <v>1.2931034482758621</v>
      </c>
      <c r="L20" s="25" t="s">
        <v>176</v>
      </c>
      <c r="M20" s="25">
        <v>1.7964071856287422</v>
      </c>
      <c r="N20" s="25" t="s">
        <v>176</v>
      </c>
      <c r="O20" s="25" t="s">
        <v>176</v>
      </c>
      <c r="P20" s="25" t="s">
        <v>176</v>
      </c>
      <c r="Q20" s="25">
        <v>1.9920318725099604</v>
      </c>
      <c r="R20" s="25" t="s">
        <v>176</v>
      </c>
      <c r="S20" s="25">
        <v>1.9680910165196435</v>
      </c>
      <c r="T20" s="25">
        <v>1.5873015873015872</v>
      </c>
      <c r="U20" s="25" t="s">
        <v>176</v>
      </c>
      <c r="V20" s="25">
        <v>1.0660980810234542</v>
      </c>
      <c r="W20" s="25">
        <v>1.5706806282722514</v>
      </c>
      <c r="X20" s="25">
        <v>1.2820512820512822</v>
      </c>
      <c r="Y20" s="25">
        <v>1.4035087719298245</v>
      </c>
      <c r="Z20" s="25">
        <v>1.9047619047619047</v>
      </c>
      <c r="AA20" s="25" t="s">
        <v>176</v>
      </c>
    </row>
    <row r="21" spans="2:27" x14ac:dyDescent="0.4">
      <c r="B21" s="38"/>
      <c r="C21" s="39"/>
      <c r="D21" s="6" t="s">
        <v>179</v>
      </c>
      <c r="E21" s="39">
        <v>2050</v>
      </c>
      <c r="F21" s="25">
        <v>11.703511053315994</v>
      </c>
      <c r="G21" s="25">
        <v>5.0597609561752988</v>
      </c>
      <c r="H21" s="25">
        <v>8.8661267021659427</v>
      </c>
      <c r="I21" s="25">
        <v>12.727272727272727</v>
      </c>
      <c r="J21" s="25">
        <v>1.5454545454545454</v>
      </c>
      <c r="K21" s="25">
        <v>4.0086206896551726</v>
      </c>
      <c r="L21" s="25">
        <v>2.4027777777777777</v>
      </c>
      <c r="M21" s="25">
        <v>101.79640718562874</v>
      </c>
      <c r="N21" s="25">
        <v>1.168384879725086</v>
      </c>
      <c r="O21" s="25">
        <v>1.1390625000000001</v>
      </c>
      <c r="P21" s="25">
        <v>1.1914893617021276</v>
      </c>
      <c r="Q21" s="25">
        <v>28.457598178713717</v>
      </c>
      <c r="R21" s="25">
        <v>1.0285714285714285</v>
      </c>
      <c r="S21" s="25">
        <v>11.80854609911786</v>
      </c>
      <c r="T21" s="25">
        <v>10</v>
      </c>
      <c r="U21" s="25">
        <v>17.5</v>
      </c>
      <c r="V21" s="25">
        <v>11.194029850746269</v>
      </c>
      <c r="W21" s="25">
        <v>6.2827225130890056</v>
      </c>
      <c r="X21" s="25">
        <v>5.6410256410256414</v>
      </c>
      <c r="Y21" s="25">
        <v>4.3859649122807021</v>
      </c>
      <c r="Z21" s="25">
        <v>51.746031746031747</v>
      </c>
      <c r="AA21" s="25" t="s">
        <v>176</v>
      </c>
    </row>
    <row r="22" spans="2:27" x14ac:dyDescent="0.4">
      <c r="B22" s="38"/>
      <c r="C22" s="39"/>
      <c r="D22" s="6" t="s">
        <v>180</v>
      </c>
      <c r="E22" s="39"/>
      <c r="F22" s="25">
        <v>1.5604681404421326</v>
      </c>
      <c r="G22" s="25">
        <v>1.5139442231075697</v>
      </c>
      <c r="H22" s="25">
        <v>3.6507580538330351</v>
      </c>
      <c r="I22" s="25">
        <v>0.95454545454545447</v>
      </c>
      <c r="J22" s="25">
        <v>1.507070707070707</v>
      </c>
      <c r="K22" s="25">
        <v>2.5862068965517242</v>
      </c>
      <c r="L22" s="25">
        <v>2.3888888888888888</v>
      </c>
      <c r="M22" s="25">
        <v>9.5808383233532926</v>
      </c>
      <c r="N22" s="25" t="s">
        <v>176</v>
      </c>
      <c r="O22" s="25">
        <v>1.1312500000000001</v>
      </c>
      <c r="P22" s="25" t="s">
        <v>176</v>
      </c>
      <c r="Q22" s="25">
        <v>1.8383608423449063</v>
      </c>
      <c r="R22" s="25" t="s">
        <v>176</v>
      </c>
      <c r="S22" s="25">
        <v>2.9521365247794651</v>
      </c>
      <c r="T22" s="25">
        <v>3.3333333333333335</v>
      </c>
      <c r="U22" s="25" t="s">
        <v>176</v>
      </c>
      <c r="V22" s="25">
        <v>1.8123667377398722</v>
      </c>
      <c r="W22" s="25">
        <v>1.4136125654450262</v>
      </c>
      <c r="X22" s="25">
        <v>1.5384615384615385</v>
      </c>
      <c r="Y22" s="25">
        <v>1.9736842105263157</v>
      </c>
      <c r="Z22" s="25">
        <v>6.3492063492063489</v>
      </c>
      <c r="AA22" s="25" t="s">
        <v>176</v>
      </c>
    </row>
  </sheetData>
  <mergeCells count="17">
    <mergeCell ref="B15:B22"/>
    <mergeCell ref="C15:C18"/>
    <mergeCell ref="E15:E16"/>
    <mergeCell ref="E17:E18"/>
    <mergeCell ref="C19:C22"/>
    <mergeCell ref="E19:E20"/>
    <mergeCell ref="E21:E22"/>
    <mergeCell ref="B3:B6"/>
    <mergeCell ref="C3:C4"/>
    <mergeCell ref="C5:C6"/>
    <mergeCell ref="B7:B14"/>
    <mergeCell ref="C7:C10"/>
    <mergeCell ref="E7:E8"/>
    <mergeCell ref="E9:E10"/>
    <mergeCell ref="C11:C14"/>
    <mergeCell ref="E11:E12"/>
    <mergeCell ref="E13:E14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D8AE-FF35-43CD-A301-A87E86DD1050}">
  <dimension ref="A1:I34"/>
  <sheetViews>
    <sheetView workbookViewId="0">
      <selection activeCell="C8" sqref="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9" x14ac:dyDescent="0.4">
      <c r="A1" s="1" t="s">
        <v>131</v>
      </c>
      <c r="D1" s="14"/>
      <c r="E1" s="1" t="s">
        <v>132</v>
      </c>
    </row>
    <row r="2" spans="1:9" x14ac:dyDescent="0.4">
      <c r="D2" s="15"/>
      <c r="E2" s="1" t="s">
        <v>133</v>
      </c>
    </row>
    <row r="4" spans="1:9" ht="15" customHeight="1" x14ac:dyDescent="0.4">
      <c r="B4" s="34" t="s">
        <v>117</v>
      </c>
      <c r="C4" s="29" t="s">
        <v>313</v>
      </c>
      <c r="D4" s="40">
        <v>2030</v>
      </c>
      <c r="E4" s="40">
        <v>2050</v>
      </c>
      <c r="F4" s="41" t="s">
        <v>130</v>
      </c>
    </row>
    <row r="5" spans="1:9" x14ac:dyDescent="0.4">
      <c r="B5" s="35"/>
      <c r="C5" s="29"/>
      <c r="D5" s="40"/>
      <c r="E5" s="40"/>
      <c r="F5" s="41"/>
    </row>
    <row r="6" spans="1:9" x14ac:dyDescent="0.4">
      <c r="B6" s="43">
        <v>3</v>
      </c>
      <c r="C6" s="36" t="str">
        <f>VLOOKUP(B6, Reference!$B:$D, 3, TRUE)</f>
        <v>Watari</v>
      </c>
      <c r="D6" s="16">
        <v>0.24</v>
      </c>
      <c r="E6" s="16">
        <v>0.9</v>
      </c>
      <c r="F6" s="43" t="s">
        <v>135</v>
      </c>
      <c r="I6" s="12"/>
    </row>
    <row r="7" spans="1:9" x14ac:dyDescent="0.4">
      <c r="B7" s="42"/>
      <c r="C7" s="36"/>
      <c r="D7" s="16">
        <v>0.16</v>
      </c>
      <c r="E7" s="16">
        <v>0.4</v>
      </c>
      <c r="F7" s="42"/>
    </row>
    <row r="8" spans="1:9" x14ac:dyDescent="0.4">
      <c r="B8" s="2">
        <v>13</v>
      </c>
      <c r="C8" s="12" t="str">
        <f>VLOOKUP(B8, Reference!$B:$D, 3, TRUE)</f>
        <v>Valero</v>
      </c>
      <c r="D8" s="16">
        <v>0.35</v>
      </c>
      <c r="E8" s="16">
        <v>0.75</v>
      </c>
      <c r="F8" s="42"/>
    </row>
    <row r="9" spans="1:9" x14ac:dyDescent="0.4">
      <c r="B9" s="42">
        <v>14</v>
      </c>
      <c r="C9" s="36" t="str">
        <f>VLOOKUP(B9, Reference!$B:$D, 3, TRUE)</f>
        <v>Månberger</v>
      </c>
      <c r="D9" s="16">
        <v>0.4</v>
      </c>
      <c r="E9" s="16">
        <v>1</v>
      </c>
      <c r="F9" s="42"/>
    </row>
    <row r="10" spans="1:9" x14ac:dyDescent="0.4">
      <c r="B10" s="42"/>
      <c r="C10" s="36"/>
      <c r="D10" s="16">
        <v>0.1</v>
      </c>
      <c r="E10" s="16">
        <v>0.1</v>
      </c>
      <c r="F10" s="42"/>
    </row>
    <row r="11" spans="1:9" x14ac:dyDescent="0.4">
      <c r="B11" s="42">
        <v>16</v>
      </c>
      <c r="C11" s="36" t="str">
        <f>VLOOKUP(B11, Reference!$B:$D, 3, TRUE)</f>
        <v>Watari</v>
      </c>
      <c r="D11" s="16">
        <v>1</v>
      </c>
      <c r="E11" s="16">
        <v>3.8</v>
      </c>
      <c r="F11" s="42"/>
    </row>
    <row r="12" spans="1:9" x14ac:dyDescent="0.4">
      <c r="B12" s="42"/>
      <c r="C12" s="36"/>
      <c r="D12" s="16">
        <v>0.25</v>
      </c>
      <c r="E12" s="16">
        <v>0.7</v>
      </c>
      <c r="F12" s="42"/>
    </row>
    <row r="13" spans="1:9" x14ac:dyDescent="0.4">
      <c r="B13" s="42">
        <v>20</v>
      </c>
      <c r="C13" s="36" t="str">
        <f>VLOOKUP(B13, Reference!$B:$D, 3, TRUE)</f>
        <v>de Koning</v>
      </c>
      <c r="D13" s="16"/>
      <c r="E13" s="16">
        <v>0.2</v>
      </c>
      <c r="F13" s="42"/>
    </row>
    <row r="14" spans="1:9" x14ac:dyDescent="0.4">
      <c r="B14" s="42"/>
      <c r="C14" s="36"/>
      <c r="D14" s="16"/>
      <c r="E14" s="16">
        <v>0.03</v>
      </c>
      <c r="F14" s="42"/>
    </row>
    <row r="15" spans="1:9" x14ac:dyDescent="0.4">
      <c r="B15" s="42">
        <v>28</v>
      </c>
      <c r="C15" s="36" t="str">
        <f>VLOOKUP(B15, Reference!$B:$D, 3, TRUE)</f>
        <v>Davidsson</v>
      </c>
      <c r="D15" s="16">
        <v>4.3</v>
      </c>
      <c r="E15" s="16">
        <v>4.3</v>
      </c>
      <c r="F15" s="42"/>
    </row>
    <row r="16" spans="1:9" x14ac:dyDescent="0.4">
      <c r="B16" s="42"/>
      <c r="C16" s="36"/>
      <c r="D16" s="16">
        <v>1.1000000000000001</v>
      </c>
      <c r="E16" s="16">
        <v>1.1000000000000001</v>
      </c>
      <c r="F16" s="42"/>
    </row>
    <row r="17" spans="2:6" x14ac:dyDescent="0.4">
      <c r="B17" s="2">
        <v>45</v>
      </c>
      <c r="C17" s="12" t="str">
        <f>VLOOKUP(B17, Reference!$B:$D, 3, TRUE)</f>
        <v>Elshkaki</v>
      </c>
      <c r="D17" s="16">
        <v>0.2</v>
      </c>
      <c r="E17" s="16">
        <v>1.3</v>
      </c>
      <c r="F17" s="42"/>
    </row>
    <row r="18" spans="2:6" x14ac:dyDescent="0.4">
      <c r="B18" s="42">
        <v>51</v>
      </c>
      <c r="C18" s="36" t="str">
        <f>VLOOKUP(B18, Reference!$B:$D, 3, TRUE)</f>
        <v>Stamp</v>
      </c>
      <c r="D18" s="16">
        <v>6.5</v>
      </c>
      <c r="E18" s="16">
        <v>8</v>
      </c>
      <c r="F18" s="42"/>
    </row>
    <row r="19" spans="2:6" x14ac:dyDescent="0.4">
      <c r="B19" s="42"/>
      <c r="C19" s="36"/>
      <c r="D19" s="16">
        <v>0.7</v>
      </c>
      <c r="E19" s="16">
        <v>4.2</v>
      </c>
      <c r="F19" s="42"/>
    </row>
    <row r="20" spans="2:6" x14ac:dyDescent="0.4">
      <c r="B20" s="2">
        <v>60</v>
      </c>
      <c r="C20" s="12" t="str">
        <f>VLOOKUP(B20, Reference!$B:$D, 3, TRUE)</f>
        <v>Elshkaki</v>
      </c>
      <c r="D20" s="16">
        <v>0.2</v>
      </c>
      <c r="E20" s="16">
        <v>1.3</v>
      </c>
      <c r="F20" s="42"/>
    </row>
    <row r="21" spans="2:6" x14ac:dyDescent="0.4">
      <c r="B21" s="2">
        <v>61</v>
      </c>
      <c r="C21" s="12" t="str">
        <f>VLOOKUP(B21, Reference!$B:$D, 3, TRUE)</f>
        <v>Elshkaki</v>
      </c>
      <c r="D21" s="16">
        <v>0.28999999999999998</v>
      </c>
      <c r="E21" s="16">
        <v>0.43</v>
      </c>
      <c r="F21" s="42"/>
    </row>
    <row r="22" spans="2:6" x14ac:dyDescent="0.4">
      <c r="B22" s="2">
        <v>62</v>
      </c>
      <c r="C22" s="12" t="str">
        <f>VLOOKUP(B22, Reference!$B:$D, 3, TRUE)</f>
        <v>Fizaine</v>
      </c>
      <c r="D22" s="14">
        <v>0.4</v>
      </c>
      <c r="E22" s="14">
        <v>0.9</v>
      </c>
      <c r="F22" s="42"/>
    </row>
    <row r="23" spans="2:6" x14ac:dyDescent="0.4">
      <c r="B23" s="2">
        <v>85</v>
      </c>
      <c r="C23" s="12" t="str">
        <f>VLOOKUP(B23, Reference!$B:$D, 3, TRUE)</f>
        <v>Fthenakis</v>
      </c>
      <c r="D23" s="14">
        <v>0.3</v>
      </c>
      <c r="E23" s="14">
        <v>0.3</v>
      </c>
      <c r="F23" s="42"/>
    </row>
    <row r="24" spans="2:6" x14ac:dyDescent="0.4">
      <c r="B24" s="2">
        <v>13</v>
      </c>
      <c r="C24" s="12" t="str">
        <f>VLOOKUP(B24, Reference!$B:$D, 3, TRUE)</f>
        <v>Valero</v>
      </c>
      <c r="D24" s="18">
        <v>0.85</v>
      </c>
      <c r="E24" s="18">
        <v>1.2</v>
      </c>
      <c r="F24" s="42" t="s">
        <v>134</v>
      </c>
    </row>
    <row r="25" spans="2:6" x14ac:dyDescent="0.4">
      <c r="B25" s="42">
        <v>16</v>
      </c>
      <c r="C25" s="36" t="str">
        <f>VLOOKUP(B25, Reference!$B:$D, 3, TRUE)</f>
        <v>Watari</v>
      </c>
      <c r="D25" s="18">
        <v>2.5</v>
      </c>
      <c r="E25" s="18">
        <v>6.3</v>
      </c>
      <c r="F25" s="42"/>
    </row>
    <row r="26" spans="2:6" x14ac:dyDescent="0.4">
      <c r="B26" s="42"/>
      <c r="C26" s="36"/>
      <c r="D26" s="18">
        <v>1.6</v>
      </c>
      <c r="E26" s="18">
        <v>3</v>
      </c>
      <c r="F26" s="42"/>
    </row>
    <row r="27" spans="2:6" x14ac:dyDescent="0.4">
      <c r="B27" s="42">
        <v>20</v>
      </c>
      <c r="C27" s="36" t="str">
        <f>VLOOKUP(B27, Reference!$B:$D, 3, TRUE)</f>
        <v>de Koning</v>
      </c>
      <c r="D27" s="18"/>
      <c r="E27" s="18">
        <v>2</v>
      </c>
      <c r="F27" s="42"/>
    </row>
    <row r="28" spans="2:6" x14ac:dyDescent="0.4">
      <c r="B28" s="42"/>
      <c r="C28" s="36"/>
      <c r="D28" s="18"/>
      <c r="E28" s="18">
        <v>1.85</v>
      </c>
      <c r="F28" s="42"/>
    </row>
    <row r="29" spans="2:6" x14ac:dyDescent="0.4">
      <c r="B29" s="2">
        <v>24</v>
      </c>
      <c r="C29" s="12" t="str">
        <f>VLOOKUP(B29, Reference!$B:$D, 3, TRUE)</f>
        <v>Hun Choi</v>
      </c>
      <c r="D29" s="18">
        <v>5</v>
      </c>
      <c r="E29" s="18">
        <v>9</v>
      </c>
      <c r="F29" s="42"/>
    </row>
    <row r="30" spans="2:6" x14ac:dyDescent="0.4">
      <c r="B30" s="2">
        <v>38</v>
      </c>
      <c r="C30" s="12" t="str">
        <f>VLOOKUP(B30, Reference!$B:$D, 3, TRUE)</f>
        <v>Hun Choi</v>
      </c>
      <c r="D30" s="18">
        <v>1.5</v>
      </c>
      <c r="E30" s="18">
        <v>2.5</v>
      </c>
      <c r="F30" s="42"/>
    </row>
    <row r="31" spans="2:6" x14ac:dyDescent="0.4">
      <c r="B31" s="2">
        <v>45</v>
      </c>
      <c r="C31" s="12" t="str">
        <f>VLOOKUP(B31, Reference!$B:$D, 3, TRUE)</f>
        <v>Elshkaki</v>
      </c>
      <c r="D31" s="18">
        <v>1.5</v>
      </c>
      <c r="E31" s="18">
        <v>3.8</v>
      </c>
      <c r="F31" s="42"/>
    </row>
    <row r="32" spans="2:6" x14ac:dyDescent="0.4">
      <c r="B32" s="2">
        <v>46</v>
      </c>
      <c r="C32" s="12" t="str">
        <f>VLOOKUP(B32, Reference!$B:$D, 3, TRUE)</f>
        <v>Kavlak</v>
      </c>
      <c r="D32" s="18">
        <v>8.25</v>
      </c>
      <c r="E32" s="18"/>
      <c r="F32" s="42"/>
    </row>
    <row r="33" spans="2:6" x14ac:dyDescent="0.4">
      <c r="B33" s="42">
        <v>51</v>
      </c>
      <c r="C33" s="36" t="str">
        <f>VLOOKUP(B33, Reference!$B:$D, 3, TRUE)</f>
        <v>Stamp</v>
      </c>
      <c r="D33" s="18">
        <v>7.2</v>
      </c>
      <c r="E33" s="18">
        <v>8.6999999999999993</v>
      </c>
      <c r="F33" s="42"/>
    </row>
    <row r="34" spans="2:6" x14ac:dyDescent="0.4">
      <c r="B34" s="42"/>
      <c r="C34" s="36"/>
      <c r="D34" s="18">
        <v>1.3</v>
      </c>
      <c r="E34" s="18">
        <v>4.9000000000000004</v>
      </c>
      <c r="F34" s="42"/>
    </row>
  </sheetData>
  <mergeCells count="25">
    <mergeCell ref="D4:D5"/>
    <mergeCell ref="E4:E5"/>
    <mergeCell ref="F4:F5"/>
    <mergeCell ref="C6:C7"/>
    <mergeCell ref="B25:B26"/>
    <mergeCell ref="F24:F34"/>
    <mergeCell ref="F6:F23"/>
    <mergeCell ref="B6:B7"/>
    <mergeCell ref="B9:B10"/>
    <mergeCell ref="B11:B12"/>
    <mergeCell ref="B13:B14"/>
    <mergeCell ref="B15:B16"/>
    <mergeCell ref="B18:B19"/>
    <mergeCell ref="C9:C10"/>
    <mergeCell ref="C11:C12"/>
    <mergeCell ref="C13:C14"/>
    <mergeCell ref="C25:C26"/>
    <mergeCell ref="C27:C28"/>
    <mergeCell ref="C33:C34"/>
    <mergeCell ref="C4:C5"/>
    <mergeCell ref="B4:B5"/>
    <mergeCell ref="B27:B28"/>
    <mergeCell ref="B33:B34"/>
    <mergeCell ref="C15:C16"/>
    <mergeCell ref="C18:C19"/>
  </mergeCells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9ED5-64DB-43CD-8446-C9050C1DC5C2}">
  <dimension ref="A1:F22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1">
        <v>2030</v>
      </c>
      <c r="E4" s="41">
        <v>2050</v>
      </c>
      <c r="F4" s="41" t="s">
        <v>130</v>
      </c>
    </row>
    <row r="5" spans="1:6" x14ac:dyDescent="0.4">
      <c r="B5" s="35"/>
      <c r="C5" s="35"/>
      <c r="D5" s="41"/>
      <c r="E5" s="41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3.7</v>
      </c>
      <c r="E6" s="13">
        <v>9.6999999999999993</v>
      </c>
      <c r="F6" s="36" t="s">
        <v>127</v>
      </c>
    </row>
    <row r="7" spans="1:6" x14ac:dyDescent="0.4">
      <c r="B7" s="42"/>
      <c r="C7" s="36"/>
      <c r="D7" s="13">
        <v>2.2000000000000002</v>
      </c>
      <c r="E7" s="13">
        <v>4.0999999999999996</v>
      </c>
      <c r="F7" s="36"/>
    </row>
    <row r="8" spans="1:6" x14ac:dyDescent="0.4">
      <c r="B8" s="2">
        <v>13</v>
      </c>
      <c r="C8" s="12" t="str">
        <f>VLOOKUP(B8, Reference!$B:$D, 3, TRUE)</f>
        <v>Valero</v>
      </c>
      <c r="D8" s="13">
        <v>9</v>
      </c>
      <c r="E8" s="13">
        <v>16</v>
      </c>
      <c r="F8" s="12" t="s">
        <v>128</v>
      </c>
    </row>
    <row r="9" spans="1:6" x14ac:dyDescent="0.4">
      <c r="B9" s="42">
        <v>14</v>
      </c>
      <c r="C9" s="36" t="str">
        <f>VLOOKUP(B9, Reference!$B:$D, 3, TRUE)</f>
        <v>Månberger</v>
      </c>
      <c r="D9" s="13">
        <v>1</v>
      </c>
      <c r="E9" s="13">
        <v>4</v>
      </c>
      <c r="F9" s="36" t="s">
        <v>127</v>
      </c>
    </row>
    <row r="10" spans="1:6" x14ac:dyDescent="0.4">
      <c r="B10" s="42"/>
      <c r="C10" s="36"/>
      <c r="D10" s="13">
        <v>0.8</v>
      </c>
      <c r="E10" s="13">
        <v>0.8</v>
      </c>
      <c r="F10" s="36"/>
    </row>
    <row r="11" spans="1:6" x14ac:dyDescent="0.4">
      <c r="B11" s="2">
        <v>15</v>
      </c>
      <c r="C11" s="12" t="str">
        <f>VLOOKUP(B11, Reference!$B:$D, 3, TRUE)</f>
        <v>Li</v>
      </c>
      <c r="D11" s="13">
        <v>9</v>
      </c>
      <c r="E11" s="13">
        <v>12</v>
      </c>
      <c r="F11" s="36" t="s">
        <v>129</v>
      </c>
    </row>
    <row r="12" spans="1:6" x14ac:dyDescent="0.4">
      <c r="B12" s="42">
        <v>16</v>
      </c>
      <c r="C12" s="36" t="str">
        <f>VLOOKUP(B12, Reference!$B:$D, 3, TRUE)</f>
        <v>Watari</v>
      </c>
      <c r="D12" s="13">
        <v>9.8000000000000007</v>
      </c>
      <c r="E12" s="13">
        <v>26</v>
      </c>
      <c r="F12" s="36"/>
    </row>
    <row r="13" spans="1:6" x14ac:dyDescent="0.4">
      <c r="B13" s="42"/>
      <c r="C13" s="36"/>
      <c r="D13" s="13">
        <v>6.4</v>
      </c>
      <c r="E13" s="13">
        <v>12</v>
      </c>
      <c r="F13" s="36"/>
    </row>
    <row r="14" spans="1:6" x14ac:dyDescent="0.4">
      <c r="B14" s="42">
        <v>28</v>
      </c>
      <c r="C14" s="36" t="str">
        <f>VLOOKUP(B14, Reference!$B:$D, 3, TRUE)</f>
        <v>Davidsson</v>
      </c>
      <c r="D14" s="13">
        <v>12</v>
      </c>
      <c r="E14" s="13">
        <v>12</v>
      </c>
      <c r="F14" s="36"/>
    </row>
    <row r="15" spans="1:6" x14ac:dyDescent="0.4">
      <c r="B15" s="42"/>
      <c r="C15" s="36"/>
      <c r="D15" s="13">
        <v>3</v>
      </c>
      <c r="E15" s="13">
        <v>1</v>
      </c>
      <c r="F15" s="36"/>
    </row>
    <row r="16" spans="1:6" x14ac:dyDescent="0.4">
      <c r="B16" s="2">
        <v>45</v>
      </c>
      <c r="C16" s="12" t="str">
        <f>VLOOKUP(B16, Reference!$B:$D, 3, TRUE)</f>
        <v>Elshkaki</v>
      </c>
      <c r="D16" s="13">
        <v>5</v>
      </c>
      <c r="E16" s="13">
        <v>25</v>
      </c>
      <c r="F16" s="36"/>
    </row>
    <row r="17" spans="2:6" x14ac:dyDescent="0.4">
      <c r="B17" s="2">
        <v>60</v>
      </c>
      <c r="C17" s="12" t="str">
        <f>VLOOKUP(B17, Reference!$B:$D, 3, TRUE)</f>
        <v>Elshkaki</v>
      </c>
      <c r="D17" s="13">
        <v>6.7</v>
      </c>
      <c r="E17" s="13">
        <v>5.3</v>
      </c>
      <c r="F17" s="12" t="s">
        <v>127</v>
      </c>
    </row>
    <row r="18" spans="2:6" x14ac:dyDescent="0.4">
      <c r="B18" s="2">
        <v>13</v>
      </c>
      <c r="C18" s="12" t="str">
        <f>VLOOKUP(B18, Reference!$B:$D, 3, TRUE)</f>
        <v>Valero</v>
      </c>
      <c r="D18" s="15">
        <v>28</v>
      </c>
      <c r="E18" s="15">
        <v>38</v>
      </c>
      <c r="F18" s="42" t="s">
        <v>134</v>
      </c>
    </row>
    <row r="19" spans="2:6" x14ac:dyDescent="0.4">
      <c r="B19" s="2">
        <v>15</v>
      </c>
      <c r="C19" s="12" t="str">
        <f>VLOOKUP(B19, Reference!$B:$D, 3, TRUE)</f>
        <v>Li</v>
      </c>
      <c r="D19" s="15">
        <v>40</v>
      </c>
      <c r="E19" s="15">
        <v>58</v>
      </c>
      <c r="F19" s="42"/>
    </row>
    <row r="20" spans="2:6" x14ac:dyDescent="0.4">
      <c r="B20" s="42">
        <v>16</v>
      </c>
      <c r="C20" s="36" t="str">
        <f>VLOOKUP(B20, Reference!$B:$D, 3, TRUE)</f>
        <v>Watari</v>
      </c>
      <c r="D20" s="15">
        <v>60</v>
      </c>
      <c r="E20" s="15">
        <v>127</v>
      </c>
      <c r="F20" s="42"/>
    </row>
    <row r="21" spans="2:6" x14ac:dyDescent="0.4">
      <c r="B21" s="42"/>
      <c r="C21" s="36"/>
      <c r="D21" s="15">
        <v>57</v>
      </c>
      <c r="E21" s="15">
        <v>112</v>
      </c>
      <c r="F21" s="42"/>
    </row>
    <row r="22" spans="2:6" x14ac:dyDescent="0.4">
      <c r="B22" s="2">
        <v>45</v>
      </c>
      <c r="C22" s="12" t="str">
        <f>VLOOKUP(B22, Reference!$B:$D, 3, TRUE)</f>
        <v>Elshkaki</v>
      </c>
      <c r="D22" s="15">
        <v>40</v>
      </c>
      <c r="E22" s="15">
        <v>105</v>
      </c>
      <c r="F22" s="42"/>
    </row>
  </sheetData>
  <mergeCells count="19">
    <mergeCell ref="F4:F5"/>
    <mergeCell ref="B6:B7"/>
    <mergeCell ref="B9:B10"/>
    <mergeCell ref="B12:B13"/>
    <mergeCell ref="B14:B15"/>
    <mergeCell ref="B4:B5"/>
    <mergeCell ref="D4:D5"/>
    <mergeCell ref="E4:E5"/>
    <mergeCell ref="F6:F7"/>
    <mergeCell ref="F9:F10"/>
    <mergeCell ref="F11:F16"/>
    <mergeCell ref="C4:C5"/>
    <mergeCell ref="C12:C13"/>
    <mergeCell ref="C14:C15"/>
    <mergeCell ref="C6:C7"/>
    <mergeCell ref="C9:C10"/>
    <mergeCell ref="C20:C21"/>
    <mergeCell ref="B20:B21"/>
    <mergeCell ref="F18:F22"/>
  </mergeCells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A88B-4809-486B-AC4F-83B97F42F06B}">
  <dimension ref="A1:F19"/>
  <sheetViews>
    <sheetView workbookViewId="0">
      <selection activeCell="C12" sqref="C12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20">
        <v>0.02</v>
      </c>
      <c r="E6" s="20">
        <v>7.0000000000000007E-2</v>
      </c>
      <c r="F6" s="43" t="s">
        <v>95</v>
      </c>
    </row>
    <row r="7" spans="1:6" x14ac:dyDescent="0.4">
      <c r="B7" s="42"/>
      <c r="C7" s="36"/>
      <c r="D7" s="21">
        <v>2E-3</v>
      </c>
      <c r="E7" s="20">
        <v>6.0000000000000001E-3</v>
      </c>
      <c r="F7" s="42"/>
    </row>
    <row r="8" spans="1:6" x14ac:dyDescent="0.4">
      <c r="B8" s="42">
        <v>14</v>
      </c>
      <c r="C8" s="36" t="str">
        <f>VLOOKUP(B8, Reference!$B:$D, 3, TRUE)</f>
        <v>Månberger</v>
      </c>
      <c r="D8" s="20">
        <v>1.4999999999999999E-2</v>
      </c>
      <c r="E8" s="20">
        <v>0.04</v>
      </c>
      <c r="F8" s="42"/>
    </row>
    <row r="9" spans="1:6" x14ac:dyDescent="0.4">
      <c r="B9" s="42"/>
      <c r="C9" s="36"/>
      <c r="D9" s="21">
        <v>1E-3</v>
      </c>
      <c r="E9" s="20">
        <v>1.4999999999999999E-2</v>
      </c>
      <c r="F9" s="42"/>
    </row>
    <row r="10" spans="1:6" x14ac:dyDescent="0.4">
      <c r="B10" s="42">
        <v>16</v>
      </c>
      <c r="C10" s="36" t="str">
        <f>VLOOKUP(B10, Reference!$B:$D, 3, TRUE)</f>
        <v>Watari</v>
      </c>
      <c r="D10" s="20">
        <v>0.05</v>
      </c>
      <c r="E10" s="20">
        <v>0.2</v>
      </c>
      <c r="F10" s="42"/>
    </row>
    <row r="11" spans="1:6" x14ac:dyDescent="0.4">
      <c r="B11" s="42"/>
      <c r="C11" s="36"/>
      <c r="D11" s="20">
        <v>4.0000000000000001E-3</v>
      </c>
      <c r="E11" s="20">
        <v>1.4999999999999999E-2</v>
      </c>
      <c r="F11" s="42"/>
    </row>
    <row r="12" spans="1:6" x14ac:dyDescent="0.4">
      <c r="B12" s="2">
        <v>61</v>
      </c>
      <c r="C12" s="12" t="str">
        <f>VLOOKUP(B12, Reference!$B:$D, 3, TRUE)</f>
        <v>Elshkaki</v>
      </c>
      <c r="D12" s="20">
        <v>0.25</v>
      </c>
      <c r="E12" s="20">
        <v>1.3</v>
      </c>
      <c r="F12" s="42"/>
    </row>
    <row r="13" spans="1:6" x14ac:dyDescent="0.4">
      <c r="B13" s="2">
        <v>75</v>
      </c>
      <c r="C13" s="12" t="str">
        <f>VLOOKUP(B13, Reference!$B:$D, 3, TRUE)</f>
        <v>Alonso</v>
      </c>
      <c r="D13" s="20">
        <v>0.1</v>
      </c>
      <c r="E13" s="20">
        <v>0.65</v>
      </c>
      <c r="F13" s="42"/>
    </row>
    <row r="14" spans="1:6" x14ac:dyDescent="0.4">
      <c r="B14" s="2">
        <v>78</v>
      </c>
      <c r="C14" s="12" t="str">
        <f>VLOOKUP(B14, Reference!$B:$D, 3, TRUE)</f>
        <v>Sun</v>
      </c>
      <c r="D14" s="20">
        <v>0.05</v>
      </c>
      <c r="E14" s="20">
        <v>0.4</v>
      </c>
      <c r="F14" s="42"/>
    </row>
    <row r="15" spans="1:6" x14ac:dyDescent="0.4">
      <c r="B15" s="42">
        <v>16</v>
      </c>
      <c r="C15" s="36" t="str">
        <f>VLOOKUP(B15, Reference!$B:$D, 3, TRUE)</f>
        <v>Watari</v>
      </c>
      <c r="D15" s="18">
        <v>0.4</v>
      </c>
      <c r="E15" s="18">
        <v>0.8</v>
      </c>
      <c r="F15" s="42" t="s">
        <v>134</v>
      </c>
    </row>
    <row r="16" spans="1:6" x14ac:dyDescent="0.4">
      <c r="B16" s="42"/>
      <c r="C16" s="36"/>
      <c r="D16" s="18">
        <v>0.3</v>
      </c>
      <c r="E16" s="18">
        <v>0.7</v>
      </c>
      <c r="F16" s="42"/>
    </row>
    <row r="17" spans="2:6" x14ac:dyDescent="0.4">
      <c r="B17" s="2">
        <v>61</v>
      </c>
      <c r="C17" s="12" t="str">
        <f>VLOOKUP(B17, Reference!$B:$D, 3, TRUE)</f>
        <v>Elshkaki</v>
      </c>
      <c r="D17" s="18">
        <v>0.5</v>
      </c>
      <c r="E17" s="18">
        <v>1.7</v>
      </c>
      <c r="F17" s="42"/>
    </row>
    <row r="18" spans="2:6" x14ac:dyDescent="0.4">
      <c r="B18" s="2">
        <v>75</v>
      </c>
      <c r="C18" s="12" t="str">
        <f>VLOOKUP(B18, Reference!$B:$D, 3, TRUE)</f>
        <v>Alonso</v>
      </c>
      <c r="D18" s="18">
        <v>0.4</v>
      </c>
      <c r="E18" s="18">
        <v>1.1499999999999999</v>
      </c>
      <c r="F18" s="42"/>
    </row>
    <row r="19" spans="2:6" x14ac:dyDescent="0.4">
      <c r="B19" s="2">
        <v>78</v>
      </c>
      <c r="C19" s="12" t="str">
        <f>VLOOKUP(B19, Reference!$B:$D, 3, TRUE)</f>
        <v>Sun</v>
      </c>
      <c r="D19" s="18">
        <v>0.28000000000000003</v>
      </c>
      <c r="E19" s="18">
        <v>0.7</v>
      </c>
      <c r="F19" s="42"/>
    </row>
  </sheetData>
  <mergeCells count="15">
    <mergeCell ref="B10:B11"/>
    <mergeCell ref="B15:B16"/>
    <mergeCell ref="F6:F14"/>
    <mergeCell ref="F15:F19"/>
    <mergeCell ref="B4:B5"/>
    <mergeCell ref="D4:D5"/>
    <mergeCell ref="E4:E5"/>
    <mergeCell ref="F4:F5"/>
    <mergeCell ref="B6:B7"/>
    <mergeCell ref="B8:B9"/>
    <mergeCell ref="C4:C5"/>
    <mergeCell ref="C6:C7"/>
    <mergeCell ref="C8:C9"/>
    <mergeCell ref="C10:C11"/>
    <mergeCell ref="C15:C16"/>
  </mergeCells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793A-85FC-4DF5-9127-A9BA9D6FC221}">
  <dimension ref="A1:F21"/>
  <sheetViews>
    <sheetView workbookViewId="0">
      <selection activeCell="C8" sqref="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6">
        <v>0.47</v>
      </c>
      <c r="E6" s="13">
        <v>1.8</v>
      </c>
      <c r="F6" s="43" t="s">
        <v>135</v>
      </c>
    </row>
    <row r="7" spans="1:6" x14ac:dyDescent="0.4">
      <c r="B7" s="42"/>
      <c r="C7" s="36"/>
      <c r="D7" s="16">
        <v>0.3</v>
      </c>
      <c r="E7" s="16">
        <v>0.8</v>
      </c>
      <c r="F7" s="42"/>
    </row>
    <row r="8" spans="1:6" x14ac:dyDescent="0.4">
      <c r="B8" s="2">
        <v>13</v>
      </c>
      <c r="C8" s="12" t="str">
        <f>VLOOKUP(B8, Reference!$B:$D, 3, TRUE)</f>
        <v>Valero</v>
      </c>
      <c r="D8" s="16">
        <v>0.25</v>
      </c>
      <c r="E8" s="16">
        <v>0.45</v>
      </c>
      <c r="F8" s="42"/>
    </row>
    <row r="9" spans="1:6" x14ac:dyDescent="0.4">
      <c r="B9" s="42">
        <v>14</v>
      </c>
      <c r="C9" s="36" t="str">
        <f>VLOOKUP(B9, Reference!$B:$D, 3, TRUE)</f>
        <v>Månberger</v>
      </c>
      <c r="D9" s="13">
        <v>1.2</v>
      </c>
      <c r="E9" s="13">
        <v>3</v>
      </c>
      <c r="F9" s="42"/>
    </row>
    <row r="10" spans="1:6" x14ac:dyDescent="0.4">
      <c r="B10" s="42"/>
      <c r="C10" s="36"/>
      <c r="D10" s="16">
        <v>0.2</v>
      </c>
      <c r="E10" s="16">
        <v>0.2</v>
      </c>
      <c r="F10" s="42"/>
    </row>
    <row r="11" spans="1:6" x14ac:dyDescent="0.4">
      <c r="B11" s="42">
        <v>16</v>
      </c>
      <c r="C11" s="36" t="str">
        <f>VLOOKUP(B11, Reference!$B:$D, 3, TRUE)</f>
        <v>Watari</v>
      </c>
      <c r="D11" s="13">
        <v>5.3</v>
      </c>
      <c r="E11" s="13">
        <v>7.4</v>
      </c>
      <c r="F11" s="42"/>
    </row>
    <row r="12" spans="1:6" x14ac:dyDescent="0.4">
      <c r="B12" s="42"/>
      <c r="C12" s="36"/>
      <c r="D12" s="13">
        <v>3.8</v>
      </c>
      <c r="E12" s="13">
        <v>1.3</v>
      </c>
      <c r="F12" s="42"/>
    </row>
    <row r="13" spans="1:6" x14ac:dyDescent="0.4">
      <c r="B13" s="42">
        <v>28</v>
      </c>
      <c r="C13" s="36" t="str">
        <f>VLOOKUP(B13, Reference!$B:$D, 3, TRUE)</f>
        <v>Davidsson</v>
      </c>
      <c r="D13" s="13">
        <v>25</v>
      </c>
      <c r="E13" s="13">
        <v>25</v>
      </c>
      <c r="F13" s="42"/>
    </row>
    <row r="14" spans="1:6" x14ac:dyDescent="0.4">
      <c r="B14" s="42"/>
      <c r="C14" s="36"/>
      <c r="D14" s="13">
        <v>2.5</v>
      </c>
      <c r="E14" s="13">
        <v>2.5</v>
      </c>
      <c r="F14" s="42"/>
    </row>
    <row r="15" spans="1:6" x14ac:dyDescent="0.4">
      <c r="B15" s="2">
        <v>45</v>
      </c>
      <c r="C15" s="12" t="str">
        <f>VLOOKUP(B15, Reference!$B:$D, 3, TRUE)</f>
        <v>Elshkaki</v>
      </c>
      <c r="D15" s="13">
        <v>3</v>
      </c>
      <c r="E15" s="13">
        <v>3</v>
      </c>
      <c r="F15" s="42"/>
    </row>
    <row r="16" spans="1:6" x14ac:dyDescent="0.4">
      <c r="B16" s="2">
        <v>60</v>
      </c>
      <c r="C16" s="12" t="str">
        <f>VLOOKUP(B16, Reference!$B:$D, 3, TRUE)</f>
        <v>Elshkaki</v>
      </c>
      <c r="D16" s="16">
        <v>0.27</v>
      </c>
      <c r="E16" s="13">
        <v>2.1</v>
      </c>
      <c r="F16" s="42"/>
    </row>
    <row r="17" spans="2:6" x14ac:dyDescent="0.4">
      <c r="B17" s="2">
        <v>13</v>
      </c>
      <c r="C17" s="12" t="str">
        <f>VLOOKUP(B17, Reference!$B:$D, 3, TRUE)</f>
        <v>Valero</v>
      </c>
      <c r="D17" s="17">
        <v>1.7</v>
      </c>
      <c r="E17" s="17">
        <v>2.1</v>
      </c>
      <c r="F17" s="42" t="s">
        <v>134</v>
      </c>
    </row>
    <row r="18" spans="2:6" x14ac:dyDescent="0.4">
      <c r="B18" s="42">
        <v>16</v>
      </c>
      <c r="C18" s="36" t="str">
        <f>VLOOKUP(B18, Reference!$B:$D, 3, TRUE)</f>
        <v>Watari</v>
      </c>
      <c r="D18" s="17">
        <v>12</v>
      </c>
      <c r="E18" s="17">
        <v>13</v>
      </c>
      <c r="F18" s="42"/>
    </row>
    <row r="19" spans="2:6" x14ac:dyDescent="0.4">
      <c r="B19" s="42"/>
      <c r="C19" s="36"/>
      <c r="D19" s="17">
        <v>3.8</v>
      </c>
      <c r="E19" s="17">
        <v>7</v>
      </c>
      <c r="F19" s="42"/>
    </row>
    <row r="20" spans="2:6" x14ac:dyDescent="0.4">
      <c r="B20" s="2">
        <v>45</v>
      </c>
      <c r="C20" s="12" t="str">
        <f>VLOOKUP(B20, Reference!$B:$D, 3, TRUE)</f>
        <v>Elshkaki</v>
      </c>
      <c r="D20" s="17">
        <v>23</v>
      </c>
      <c r="E20" s="17">
        <v>28</v>
      </c>
      <c r="F20" s="42"/>
    </row>
    <row r="21" spans="2:6" x14ac:dyDescent="0.4">
      <c r="B21" s="2">
        <v>46</v>
      </c>
      <c r="C21" s="12" t="str">
        <f>VLOOKUP(B21, Reference!$B:$D, 3, TRUE)</f>
        <v>Kavlak</v>
      </c>
      <c r="D21" s="17">
        <v>14.5</v>
      </c>
      <c r="E21" s="15"/>
      <c r="F21" s="42"/>
    </row>
  </sheetData>
  <mergeCells count="17">
    <mergeCell ref="F6:F16"/>
    <mergeCell ref="F17:F21"/>
    <mergeCell ref="B6:B7"/>
    <mergeCell ref="B9:B10"/>
    <mergeCell ref="B11:B12"/>
    <mergeCell ref="B13:B14"/>
    <mergeCell ref="B18:B19"/>
    <mergeCell ref="C6:C7"/>
    <mergeCell ref="C9:C10"/>
    <mergeCell ref="C11:C12"/>
    <mergeCell ref="C13:C14"/>
    <mergeCell ref="C18:C19"/>
    <mergeCell ref="B4:B5"/>
    <mergeCell ref="D4:D5"/>
    <mergeCell ref="E4:E5"/>
    <mergeCell ref="F4:F5"/>
    <mergeCell ref="C4:C5"/>
  </mergeCells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B212-7C62-4793-B0C6-21616C255008}">
  <dimension ref="A1:F10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20</v>
      </c>
      <c r="C6" s="36" t="str">
        <f>VLOOKUP(B6, Reference!$B:$D, 3, TRUE)</f>
        <v>de Koning</v>
      </c>
      <c r="D6" s="14"/>
      <c r="E6" s="13">
        <v>2026</v>
      </c>
      <c r="F6" s="43" t="s">
        <v>149</v>
      </c>
    </row>
    <row r="7" spans="1:6" x14ac:dyDescent="0.4">
      <c r="B7" s="42"/>
      <c r="C7" s="36"/>
      <c r="D7" s="14"/>
      <c r="E7" s="13">
        <v>1810</v>
      </c>
      <c r="F7" s="42"/>
    </row>
    <row r="8" spans="1:6" x14ac:dyDescent="0.4">
      <c r="B8" s="2">
        <v>60</v>
      </c>
      <c r="C8" s="12" t="str">
        <f>VLOOKUP(B8, Reference!$B:$D, 3, TRUE)</f>
        <v>Elshkaki</v>
      </c>
      <c r="D8" s="14"/>
      <c r="E8" s="13">
        <v>1435</v>
      </c>
      <c r="F8" s="2" t="s">
        <v>141</v>
      </c>
    </row>
    <row r="9" spans="1:6" x14ac:dyDescent="0.4">
      <c r="B9" s="42">
        <v>20</v>
      </c>
      <c r="C9" s="36" t="str">
        <f>VLOOKUP(B9, Reference!$B:$D, 3, TRUE)</f>
        <v>de Koning</v>
      </c>
      <c r="D9" s="15"/>
      <c r="E9" s="17">
        <v>7653</v>
      </c>
      <c r="F9" s="42" t="s">
        <v>134</v>
      </c>
    </row>
    <row r="10" spans="1:6" x14ac:dyDescent="0.4">
      <c r="B10" s="42"/>
      <c r="C10" s="36"/>
      <c r="D10" s="15"/>
      <c r="E10" s="17">
        <v>7463</v>
      </c>
      <c r="F10" s="42"/>
    </row>
  </sheetData>
  <mergeCells count="11">
    <mergeCell ref="F9:F10"/>
    <mergeCell ref="B6:B7"/>
    <mergeCell ref="B9:B10"/>
    <mergeCell ref="C4:C5"/>
    <mergeCell ref="C6:C7"/>
    <mergeCell ref="C9:C10"/>
    <mergeCell ref="B4:B5"/>
    <mergeCell ref="D4:D5"/>
    <mergeCell ref="E4:E5"/>
    <mergeCell ref="F4:F5"/>
    <mergeCell ref="F6:F7"/>
  </mergeCells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94D3-A040-4B5F-8603-E86B02BC8CCE}">
  <dimension ref="A1:F17"/>
  <sheetViews>
    <sheetView workbookViewId="0">
      <selection activeCell="C12" sqref="C12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6">
        <v>0.43</v>
      </c>
      <c r="E6" s="13">
        <v>1.1499999999999999</v>
      </c>
      <c r="F6" s="43" t="s">
        <v>136</v>
      </c>
    </row>
    <row r="7" spans="1:6" x14ac:dyDescent="0.4">
      <c r="B7" s="42"/>
      <c r="C7" s="36"/>
      <c r="D7" s="16">
        <v>0.28000000000000003</v>
      </c>
      <c r="E7" s="16">
        <v>0.5</v>
      </c>
      <c r="F7" s="42"/>
    </row>
    <row r="8" spans="1:6" x14ac:dyDescent="0.4">
      <c r="B8" s="42">
        <v>16</v>
      </c>
      <c r="C8" s="36" t="str">
        <f>VLOOKUP(B8, Reference!$B:$D, 3, TRUE)</f>
        <v>Watari</v>
      </c>
      <c r="D8" s="13">
        <v>3.8</v>
      </c>
      <c r="E8" s="13">
        <v>14</v>
      </c>
      <c r="F8" s="42"/>
    </row>
    <row r="9" spans="1:6" x14ac:dyDescent="0.4">
      <c r="B9" s="42"/>
      <c r="C9" s="36"/>
      <c r="D9" s="13">
        <v>0.92</v>
      </c>
      <c r="E9" s="13">
        <v>2.5</v>
      </c>
      <c r="F9" s="42"/>
    </row>
    <row r="10" spans="1:6" x14ac:dyDescent="0.4">
      <c r="B10" s="42">
        <v>28</v>
      </c>
      <c r="C10" s="36" t="str">
        <f>VLOOKUP(B10, Reference!$B:$D, 3, TRUE)</f>
        <v>Davidsson</v>
      </c>
      <c r="D10" s="13">
        <v>22</v>
      </c>
      <c r="E10" s="13">
        <v>22</v>
      </c>
      <c r="F10" s="42"/>
    </row>
    <row r="11" spans="1:6" x14ac:dyDescent="0.4">
      <c r="B11" s="42"/>
      <c r="C11" s="36"/>
      <c r="D11" s="13">
        <v>2.8</v>
      </c>
      <c r="E11" s="13">
        <v>2.8</v>
      </c>
      <c r="F11" s="42"/>
    </row>
    <row r="12" spans="1:6" x14ac:dyDescent="0.4">
      <c r="B12" s="2">
        <v>45</v>
      </c>
      <c r="C12" s="12" t="str">
        <f>VLOOKUP(B12, Reference!$B:$D, 3, TRUE)</f>
        <v>Elshkaki</v>
      </c>
      <c r="D12" s="13">
        <v>2</v>
      </c>
      <c r="E12" s="13">
        <v>20</v>
      </c>
      <c r="F12" s="42"/>
    </row>
    <row r="13" spans="1:6" x14ac:dyDescent="0.4">
      <c r="B13" s="2">
        <v>60</v>
      </c>
      <c r="C13" s="12" t="str">
        <f>VLOOKUP(B13, Reference!$B:$D, 3, TRUE)</f>
        <v>Elshkaki</v>
      </c>
      <c r="D13" s="13"/>
      <c r="E13" s="13">
        <v>0.55000000000000004</v>
      </c>
      <c r="F13" s="42"/>
    </row>
    <row r="14" spans="1:6" x14ac:dyDescent="0.4">
      <c r="B14" s="42">
        <v>16</v>
      </c>
      <c r="C14" s="36" t="str">
        <f>VLOOKUP(B14, Reference!$B:$D, 3, TRUE)</f>
        <v>Watari</v>
      </c>
      <c r="D14" s="17">
        <v>49</v>
      </c>
      <c r="E14" s="17">
        <v>93</v>
      </c>
      <c r="F14" s="42" t="s">
        <v>134</v>
      </c>
    </row>
    <row r="15" spans="1:6" x14ac:dyDescent="0.4">
      <c r="B15" s="42"/>
      <c r="C15" s="36"/>
      <c r="D15" s="17">
        <v>46</v>
      </c>
      <c r="E15" s="17">
        <v>81</v>
      </c>
      <c r="F15" s="42"/>
    </row>
    <row r="16" spans="1:6" x14ac:dyDescent="0.4">
      <c r="B16" s="2">
        <v>45</v>
      </c>
      <c r="C16" s="12" t="str">
        <f>VLOOKUP(B16, Reference!$B:$D, 3, TRUE)</f>
        <v>Elshkaki</v>
      </c>
      <c r="D16" s="17">
        <v>30</v>
      </c>
      <c r="E16" s="17">
        <v>60</v>
      </c>
      <c r="F16" s="42"/>
    </row>
    <row r="17" spans="2:6" x14ac:dyDescent="0.4">
      <c r="B17" s="2">
        <v>56</v>
      </c>
      <c r="C17" s="12" t="str">
        <f>VLOOKUP(B17, Reference!$B:$D, 3, TRUE)</f>
        <v>Speirs</v>
      </c>
      <c r="D17" s="17">
        <v>42.3</v>
      </c>
      <c r="E17" s="17"/>
      <c r="F17" s="42"/>
    </row>
  </sheetData>
  <mergeCells count="15">
    <mergeCell ref="B14:B15"/>
    <mergeCell ref="B6:B7"/>
    <mergeCell ref="B8:B9"/>
    <mergeCell ref="B10:B11"/>
    <mergeCell ref="F6:F13"/>
    <mergeCell ref="F14:F17"/>
    <mergeCell ref="C6:C7"/>
    <mergeCell ref="C8:C9"/>
    <mergeCell ref="C10:C11"/>
    <mergeCell ref="C14:C15"/>
    <mergeCell ref="B4:B5"/>
    <mergeCell ref="D4:D5"/>
    <mergeCell ref="E4:E5"/>
    <mergeCell ref="F4:F5"/>
    <mergeCell ref="C4:C5"/>
  </mergeCells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62F8-8E03-4CE2-9863-3BB72963D444}">
  <dimension ref="A1:F9"/>
  <sheetViews>
    <sheetView workbookViewId="0">
      <selection activeCell="C6" sqref="C6:C9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1105</v>
      </c>
      <c r="E6" s="13">
        <v>3271</v>
      </c>
      <c r="F6" s="44" t="s">
        <v>150</v>
      </c>
    </row>
    <row r="7" spans="1:6" x14ac:dyDescent="0.4">
      <c r="B7" s="42"/>
      <c r="C7" s="36"/>
      <c r="D7" s="13">
        <v>502</v>
      </c>
      <c r="E7" s="13">
        <v>1190</v>
      </c>
      <c r="F7" s="45"/>
    </row>
    <row r="8" spans="1:6" x14ac:dyDescent="0.4">
      <c r="B8" s="42">
        <v>20</v>
      </c>
      <c r="C8" s="36" t="str">
        <f>VLOOKUP(B8, Reference!$B:$D, 3, TRUE)</f>
        <v>de Koning</v>
      </c>
      <c r="D8" s="17"/>
      <c r="E8" s="17">
        <v>22357</v>
      </c>
      <c r="F8" s="42" t="s">
        <v>134</v>
      </c>
    </row>
    <row r="9" spans="1:6" x14ac:dyDescent="0.4">
      <c r="B9" s="42"/>
      <c r="C9" s="36"/>
      <c r="D9" s="17"/>
      <c r="E9" s="17">
        <v>22491</v>
      </c>
      <c r="F9" s="42"/>
    </row>
  </sheetData>
  <mergeCells count="11">
    <mergeCell ref="F8:F9"/>
    <mergeCell ref="B6:B7"/>
    <mergeCell ref="B8:B9"/>
    <mergeCell ref="C4:C5"/>
    <mergeCell ref="C6:C7"/>
    <mergeCell ref="C8:C9"/>
    <mergeCell ref="B4:B5"/>
    <mergeCell ref="D4:D5"/>
    <mergeCell ref="E4:E5"/>
    <mergeCell ref="F4:F5"/>
    <mergeCell ref="F6:F7"/>
  </mergeCells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F05D-790B-49EC-8BFC-16288480F135}">
  <dimension ref="A1:F28"/>
  <sheetViews>
    <sheetView workbookViewId="0">
      <selection activeCell="C29" sqref="C29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6">
        <v>0.5</v>
      </c>
      <c r="E6" s="16">
        <v>1.4</v>
      </c>
      <c r="F6" s="43" t="s">
        <v>136</v>
      </c>
    </row>
    <row r="7" spans="1:6" x14ac:dyDescent="0.4">
      <c r="B7" s="42"/>
      <c r="C7" s="36"/>
      <c r="D7" s="16">
        <v>0.34</v>
      </c>
      <c r="E7" s="16">
        <v>0.64</v>
      </c>
      <c r="F7" s="42"/>
    </row>
    <row r="8" spans="1:6" x14ac:dyDescent="0.4">
      <c r="B8" s="2">
        <v>13</v>
      </c>
      <c r="C8" s="12" t="str">
        <f>VLOOKUP(B8, Reference!$B:$D, 3, TRUE)</f>
        <v>Valero</v>
      </c>
      <c r="D8" s="16">
        <v>0.75</v>
      </c>
      <c r="E8" s="16">
        <v>1.5</v>
      </c>
      <c r="F8" s="42"/>
    </row>
    <row r="9" spans="1:6" x14ac:dyDescent="0.4">
      <c r="B9" s="42">
        <v>14</v>
      </c>
      <c r="C9" s="36" t="str">
        <f>VLOOKUP(B9, Reference!$B:$D, 3, TRUE)</f>
        <v>Månberger</v>
      </c>
      <c r="D9" s="16">
        <v>0.7</v>
      </c>
      <c r="E9" s="16">
        <v>2.2000000000000002</v>
      </c>
      <c r="F9" s="42"/>
    </row>
    <row r="10" spans="1:6" x14ac:dyDescent="0.4">
      <c r="B10" s="42"/>
      <c r="C10" s="36"/>
      <c r="D10" s="16">
        <v>0.2</v>
      </c>
      <c r="E10" s="16">
        <v>0.25</v>
      </c>
      <c r="F10" s="42"/>
    </row>
    <row r="11" spans="1:6" x14ac:dyDescent="0.4">
      <c r="B11" s="42">
        <v>16</v>
      </c>
      <c r="C11" s="36" t="str">
        <f>VLOOKUP(B11, Reference!$B:$D, 3, TRUE)</f>
        <v>Watari</v>
      </c>
      <c r="D11" s="13">
        <v>4.4000000000000004</v>
      </c>
      <c r="E11" s="13">
        <v>16</v>
      </c>
      <c r="F11" s="42"/>
    </row>
    <row r="12" spans="1:6" x14ac:dyDescent="0.4">
      <c r="B12" s="42"/>
      <c r="C12" s="36"/>
      <c r="D12" s="13">
        <v>1</v>
      </c>
      <c r="E12" s="13">
        <v>2.9</v>
      </c>
      <c r="F12" s="42"/>
    </row>
    <row r="13" spans="1:6" x14ac:dyDescent="0.4">
      <c r="B13" s="42">
        <v>28</v>
      </c>
      <c r="C13" s="36" t="str">
        <f>VLOOKUP(B13, Reference!$B:$D, 3, TRUE)</f>
        <v>Davidsson</v>
      </c>
      <c r="D13" s="13">
        <v>24</v>
      </c>
      <c r="E13" s="13">
        <v>24</v>
      </c>
      <c r="F13" s="42"/>
    </row>
    <row r="14" spans="1:6" x14ac:dyDescent="0.4">
      <c r="B14" s="42"/>
      <c r="C14" s="36"/>
      <c r="D14" s="13">
        <v>3</v>
      </c>
      <c r="E14" s="13">
        <v>3</v>
      </c>
      <c r="F14" s="42"/>
    </row>
    <row r="15" spans="1:6" x14ac:dyDescent="0.4">
      <c r="B15" s="2">
        <v>45</v>
      </c>
      <c r="C15" s="12" t="str">
        <f>VLOOKUP(B15, Reference!$B:$D, 3, TRUE)</f>
        <v>Elshkaki</v>
      </c>
      <c r="D15" s="16">
        <v>0.2</v>
      </c>
      <c r="E15" s="16">
        <v>2.5</v>
      </c>
      <c r="F15" s="42"/>
    </row>
    <row r="16" spans="1:6" x14ac:dyDescent="0.4">
      <c r="B16" s="42">
        <v>54</v>
      </c>
      <c r="C16" s="36" t="str">
        <f>VLOOKUP(B16, Reference!$B:$D, 3, TRUE)</f>
        <v>Bustamante</v>
      </c>
      <c r="D16" s="13">
        <v>4.5</v>
      </c>
      <c r="E16" s="13">
        <v>4.5</v>
      </c>
      <c r="F16" s="42"/>
    </row>
    <row r="17" spans="2:6" x14ac:dyDescent="0.4">
      <c r="B17" s="42"/>
      <c r="C17" s="36"/>
      <c r="D17" s="13">
        <v>2</v>
      </c>
      <c r="E17" s="13">
        <v>4.5</v>
      </c>
      <c r="F17" s="42"/>
    </row>
    <row r="18" spans="2:6" x14ac:dyDescent="0.4">
      <c r="B18" s="42">
        <v>58</v>
      </c>
      <c r="C18" s="36" t="str">
        <f>VLOOKUP(B18, Reference!$B:$D, 3, TRUE)</f>
        <v>Houari</v>
      </c>
      <c r="D18" s="13">
        <v>1.8</v>
      </c>
      <c r="E18" s="13">
        <v>3.5</v>
      </c>
      <c r="F18" s="42"/>
    </row>
    <row r="19" spans="2:6" x14ac:dyDescent="0.4">
      <c r="B19" s="42"/>
      <c r="C19" s="36"/>
      <c r="D19" s="16">
        <v>0.7</v>
      </c>
      <c r="E19" s="16">
        <v>1</v>
      </c>
      <c r="F19" s="42"/>
    </row>
    <row r="20" spans="2:6" x14ac:dyDescent="0.4">
      <c r="B20" s="2">
        <v>60</v>
      </c>
      <c r="C20" s="12" t="str">
        <f>VLOOKUP(B20, Reference!$B:$D, 3, TRUE)</f>
        <v>Elshkaki</v>
      </c>
      <c r="D20" s="16">
        <v>0.4</v>
      </c>
      <c r="E20" s="16">
        <v>2.7</v>
      </c>
      <c r="F20" s="42"/>
    </row>
    <row r="21" spans="2:6" x14ac:dyDescent="0.4">
      <c r="B21" s="2">
        <v>77</v>
      </c>
      <c r="C21" s="12" t="str">
        <f>VLOOKUP(B21, Reference!$B:$D, 3, TRUE)</f>
        <v>Zuser</v>
      </c>
      <c r="D21" s="16">
        <v>0.69</v>
      </c>
      <c r="E21" s="16">
        <v>1.1000000000000001</v>
      </c>
      <c r="F21" s="42"/>
    </row>
    <row r="22" spans="2:6" x14ac:dyDescent="0.4">
      <c r="B22" s="42">
        <v>85</v>
      </c>
      <c r="C22" s="36" t="str">
        <f>VLOOKUP(B22, Reference!$B:$D, 3, TRUE)</f>
        <v>Fthenakis</v>
      </c>
      <c r="D22" s="16">
        <v>1.5</v>
      </c>
      <c r="E22" s="16">
        <v>1.5</v>
      </c>
      <c r="F22" s="42"/>
    </row>
    <row r="23" spans="2:6" x14ac:dyDescent="0.4">
      <c r="B23" s="42"/>
      <c r="C23" s="36"/>
      <c r="D23" s="16">
        <v>1.2</v>
      </c>
      <c r="E23" s="16">
        <v>1.2</v>
      </c>
      <c r="F23" s="42"/>
    </row>
    <row r="24" spans="2:6" x14ac:dyDescent="0.4">
      <c r="B24" s="2">
        <v>13</v>
      </c>
      <c r="C24" s="12" t="str">
        <f>VLOOKUP(B24, Reference!$B:$D, 3, TRUE)</f>
        <v>Valero</v>
      </c>
      <c r="D24" s="17">
        <v>0.85</v>
      </c>
      <c r="E24" s="17">
        <v>1.6</v>
      </c>
      <c r="F24" s="42" t="s">
        <v>134</v>
      </c>
    </row>
    <row r="25" spans="2:6" x14ac:dyDescent="0.4">
      <c r="B25" s="42">
        <v>16</v>
      </c>
      <c r="C25" s="36" t="str">
        <f>VLOOKUP(B25, Reference!$B:$D, 3, TRUE)</f>
        <v>Watari</v>
      </c>
      <c r="D25" s="17">
        <v>4.7</v>
      </c>
      <c r="E25" s="17">
        <v>17</v>
      </c>
      <c r="F25" s="42"/>
    </row>
    <row r="26" spans="2:6" x14ac:dyDescent="0.4">
      <c r="B26" s="42"/>
      <c r="C26" s="36"/>
      <c r="D26" s="17">
        <v>1.4</v>
      </c>
      <c r="E26" s="17">
        <v>3.4</v>
      </c>
      <c r="F26" s="42"/>
    </row>
    <row r="27" spans="2:6" x14ac:dyDescent="0.4">
      <c r="B27" s="2">
        <v>45</v>
      </c>
      <c r="C27" s="12" t="str">
        <f>VLOOKUP(B27, Reference!$B:$D, 3, TRUE)</f>
        <v>Elshkaki</v>
      </c>
      <c r="D27" s="18">
        <v>0.3</v>
      </c>
      <c r="E27" s="17">
        <v>2.7</v>
      </c>
      <c r="F27" s="42"/>
    </row>
    <row r="28" spans="2:6" x14ac:dyDescent="0.4">
      <c r="B28" s="2">
        <v>46</v>
      </c>
      <c r="C28" s="12" t="str">
        <f>VLOOKUP(B28, Reference!$B:$D, 3, TRUE)</f>
        <v>Kavlak</v>
      </c>
      <c r="D28" s="17">
        <v>20.8</v>
      </c>
      <c r="E28" s="15"/>
      <c r="F28" s="42"/>
    </row>
  </sheetData>
  <mergeCells count="23">
    <mergeCell ref="F24:F28"/>
    <mergeCell ref="B6:B7"/>
    <mergeCell ref="B9:B10"/>
    <mergeCell ref="B11:B12"/>
    <mergeCell ref="B13:B14"/>
    <mergeCell ref="C6:C7"/>
    <mergeCell ref="C9:C10"/>
    <mergeCell ref="C11:C12"/>
    <mergeCell ref="C13:C14"/>
    <mergeCell ref="C16:C17"/>
    <mergeCell ref="C18:C19"/>
    <mergeCell ref="F4:F5"/>
    <mergeCell ref="C4:C5"/>
    <mergeCell ref="B16:B17"/>
    <mergeCell ref="B18:B19"/>
    <mergeCell ref="B22:B23"/>
    <mergeCell ref="F6:F23"/>
    <mergeCell ref="C22:C23"/>
    <mergeCell ref="C25:C26"/>
    <mergeCell ref="B4:B5"/>
    <mergeCell ref="D4:D5"/>
    <mergeCell ref="E4:E5"/>
    <mergeCell ref="B25:B26"/>
  </mergeCells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D5B-3398-4A46-92CA-D3C29B59E48C}">
  <dimension ref="A1:F7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2">
        <v>13</v>
      </c>
      <c r="C6" s="12" t="str">
        <f>VLOOKUP(B6, Reference!$B:$D, 3, TRUE)</f>
        <v>Valero</v>
      </c>
      <c r="D6" s="14">
        <v>35</v>
      </c>
      <c r="E6" s="14">
        <v>70</v>
      </c>
      <c r="F6" s="2" t="s">
        <v>146</v>
      </c>
    </row>
    <row r="7" spans="1:6" x14ac:dyDescent="0.4">
      <c r="B7" s="2">
        <v>13</v>
      </c>
      <c r="C7" s="12" t="str">
        <f>VLOOKUP(B7, Reference!$B:$D, 3, TRUE)</f>
        <v>Valero</v>
      </c>
      <c r="D7" s="15">
        <v>270</v>
      </c>
      <c r="E7" s="15">
        <v>310</v>
      </c>
      <c r="F7" s="2" t="s">
        <v>134</v>
      </c>
    </row>
  </sheetData>
  <mergeCells count="5">
    <mergeCell ref="B4:B5"/>
    <mergeCell ref="D4:D5"/>
    <mergeCell ref="E4:E5"/>
    <mergeCell ref="F4:F5"/>
    <mergeCell ref="C4:C5"/>
  </mergeCells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CC6F-225D-4466-89BC-5B9DAB3CB098}">
  <dimension ref="A1:F9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849</v>
      </c>
      <c r="E6" s="13">
        <v>1590</v>
      </c>
      <c r="F6" s="44" t="s">
        <v>152</v>
      </c>
    </row>
    <row r="7" spans="1:6" x14ac:dyDescent="0.4">
      <c r="B7" s="42"/>
      <c r="C7" s="36"/>
      <c r="D7" s="13">
        <v>520</v>
      </c>
      <c r="E7" s="13">
        <v>869</v>
      </c>
      <c r="F7" s="45"/>
    </row>
    <row r="8" spans="1:6" x14ac:dyDescent="0.4">
      <c r="B8" s="42">
        <v>20</v>
      </c>
      <c r="C8" s="36" t="str">
        <f>VLOOKUP(B8, Reference!$B:$D, 3, TRUE)</f>
        <v>de Koning</v>
      </c>
      <c r="D8" s="17"/>
      <c r="E8" s="17">
        <v>14580</v>
      </c>
      <c r="F8" s="42" t="s">
        <v>134</v>
      </c>
    </row>
    <row r="9" spans="1:6" x14ac:dyDescent="0.4">
      <c r="B9" s="42"/>
      <c r="C9" s="36"/>
      <c r="D9" s="17"/>
      <c r="E9" s="17">
        <v>14481</v>
      </c>
      <c r="F9" s="42"/>
    </row>
  </sheetData>
  <mergeCells count="11">
    <mergeCell ref="F8:F9"/>
    <mergeCell ref="B6:B7"/>
    <mergeCell ref="B8:B9"/>
    <mergeCell ref="C4:C5"/>
    <mergeCell ref="C6:C7"/>
    <mergeCell ref="C8:C9"/>
    <mergeCell ref="B4:B5"/>
    <mergeCell ref="D4:D5"/>
    <mergeCell ref="E4:E5"/>
    <mergeCell ref="F4:F5"/>
    <mergeCell ref="F6:F7"/>
  </mergeCells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6208-2B28-456A-AA44-871C3C56126A}">
  <dimension ref="A1:F7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2">
        <v>13</v>
      </c>
      <c r="C6" s="12" t="str">
        <f>VLOOKUP(B6, Reference!$B:$D, 3, TRUE)</f>
        <v>Valero</v>
      </c>
      <c r="D6" s="14">
        <v>15</v>
      </c>
      <c r="E6" s="14">
        <v>25</v>
      </c>
      <c r="F6" s="19" t="s">
        <v>148</v>
      </c>
    </row>
    <row r="7" spans="1:6" x14ac:dyDescent="0.4">
      <c r="B7" s="2">
        <v>13</v>
      </c>
      <c r="C7" s="12" t="str">
        <f>VLOOKUP(B7, Reference!$B:$D, 3, TRUE)</f>
        <v>Valero</v>
      </c>
      <c r="D7" s="15">
        <v>270</v>
      </c>
      <c r="E7" s="15">
        <v>280</v>
      </c>
      <c r="F7" s="2" t="s">
        <v>134</v>
      </c>
    </row>
  </sheetData>
  <mergeCells count="5">
    <mergeCell ref="B4:B5"/>
    <mergeCell ref="D4:D5"/>
    <mergeCell ref="E4:E5"/>
    <mergeCell ref="F4:F5"/>
    <mergeCell ref="C4:C5"/>
  </mergeCells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A35A-567E-49D6-9440-7A38A6096BF2}">
  <dimension ref="A1:F36"/>
  <sheetViews>
    <sheetView workbookViewId="0">
      <selection activeCell="C8" sqref="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8.8000000000000007</v>
      </c>
      <c r="E6" s="13">
        <v>30</v>
      </c>
      <c r="F6" s="43" t="s">
        <v>145</v>
      </c>
    </row>
    <row r="7" spans="1:6" x14ac:dyDescent="0.4">
      <c r="B7" s="42"/>
      <c r="C7" s="36"/>
      <c r="D7" s="13">
        <v>3.8</v>
      </c>
      <c r="E7" s="13">
        <v>13.7</v>
      </c>
      <c r="F7" s="42"/>
    </row>
    <row r="8" spans="1:6" x14ac:dyDescent="0.4">
      <c r="B8" s="2">
        <v>13</v>
      </c>
      <c r="C8" s="12" t="str">
        <f>VLOOKUP(B8, Reference!$B:$D, 3, TRUE)</f>
        <v>Valero</v>
      </c>
      <c r="D8" s="13">
        <v>3.9</v>
      </c>
      <c r="E8" s="13">
        <v>7.5</v>
      </c>
      <c r="F8" s="42"/>
    </row>
    <row r="9" spans="1:6" x14ac:dyDescent="0.4">
      <c r="B9" s="42">
        <v>14</v>
      </c>
      <c r="C9" s="36" t="str">
        <f>VLOOKUP(B9, Reference!$B:$D, 3, TRUE)</f>
        <v>Månberger</v>
      </c>
      <c r="D9" s="13">
        <v>1.7</v>
      </c>
      <c r="E9" s="13">
        <v>3.2</v>
      </c>
      <c r="F9" s="42"/>
    </row>
    <row r="10" spans="1:6" x14ac:dyDescent="0.4">
      <c r="B10" s="42"/>
      <c r="C10" s="36"/>
      <c r="D10" s="16">
        <v>0.2</v>
      </c>
      <c r="E10" s="16">
        <v>0.2</v>
      </c>
      <c r="F10" s="42"/>
    </row>
    <row r="11" spans="1:6" x14ac:dyDescent="0.4">
      <c r="B11" s="42">
        <v>16</v>
      </c>
      <c r="C11" s="36" t="str">
        <f>VLOOKUP(B11, Reference!$B:$D, 3, TRUE)</f>
        <v>Watari</v>
      </c>
      <c r="D11" s="13">
        <v>4.4000000000000004</v>
      </c>
      <c r="E11" s="13">
        <v>13</v>
      </c>
      <c r="F11" s="42"/>
    </row>
    <row r="12" spans="1:6" x14ac:dyDescent="0.4">
      <c r="B12" s="42"/>
      <c r="C12" s="36"/>
      <c r="D12" s="13">
        <v>2.1</v>
      </c>
      <c r="E12" s="13">
        <v>7</v>
      </c>
      <c r="F12" s="42"/>
    </row>
    <row r="13" spans="1:6" x14ac:dyDescent="0.4">
      <c r="B13" s="42">
        <v>20</v>
      </c>
      <c r="C13" s="36" t="str">
        <f>VLOOKUP(B13, Reference!$B:$D, 3, TRUE)</f>
        <v>de Koning</v>
      </c>
      <c r="D13" s="13"/>
      <c r="E13" s="13">
        <v>2.2000000000000002</v>
      </c>
      <c r="F13" s="42" t="s">
        <v>141</v>
      </c>
    </row>
    <row r="14" spans="1:6" x14ac:dyDescent="0.4">
      <c r="B14" s="42"/>
      <c r="C14" s="36"/>
      <c r="D14" s="13"/>
      <c r="E14" s="16">
        <v>0.05</v>
      </c>
      <c r="F14" s="42"/>
    </row>
    <row r="15" spans="1:6" x14ac:dyDescent="0.4">
      <c r="B15" s="42">
        <v>40</v>
      </c>
      <c r="C15" s="36" t="str">
        <f>VLOOKUP(B15, Reference!$B:$D, 3, TRUE)</f>
        <v>Schulze</v>
      </c>
      <c r="D15" s="13">
        <v>3.8</v>
      </c>
      <c r="E15" s="13"/>
      <c r="F15" s="42" t="s">
        <v>144</v>
      </c>
    </row>
    <row r="16" spans="1:6" x14ac:dyDescent="0.4">
      <c r="B16" s="42"/>
      <c r="C16" s="36"/>
      <c r="D16" s="13">
        <v>0.78</v>
      </c>
      <c r="E16" s="13"/>
      <c r="F16" s="42"/>
    </row>
    <row r="17" spans="2:6" x14ac:dyDescent="0.4">
      <c r="B17" s="2">
        <v>49</v>
      </c>
      <c r="C17" s="12" t="str">
        <f>VLOOKUP(B17, Reference!$B:$D, 3, TRUE)</f>
        <v>Elshkaki</v>
      </c>
      <c r="D17" s="13">
        <v>3.3</v>
      </c>
      <c r="E17" s="13">
        <v>6</v>
      </c>
      <c r="F17" s="2" t="s">
        <v>141</v>
      </c>
    </row>
    <row r="18" spans="2:6" x14ac:dyDescent="0.4">
      <c r="B18" s="42">
        <v>55</v>
      </c>
      <c r="C18" s="36" t="str">
        <f>VLOOKUP(B18, Reference!$B:$D, 3, TRUE)</f>
        <v>Habib</v>
      </c>
      <c r="D18" s="13">
        <v>2</v>
      </c>
      <c r="E18" s="13">
        <v>17.5</v>
      </c>
      <c r="F18" s="42" t="s">
        <v>144</v>
      </c>
    </row>
    <row r="19" spans="2:6" x14ac:dyDescent="0.4">
      <c r="B19" s="42"/>
      <c r="C19" s="36"/>
      <c r="D19" s="13">
        <v>0.5</v>
      </c>
      <c r="E19" s="13">
        <v>4.5</v>
      </c>
      <c r="F19" s="42"/>
    </row>
    <row r="20" spans="2:6" x14ac:dyDescent="0.4">
      <c r="B20" s="2">
        <v>60</v>
      </c>
      <c r="C20" s="12" t="str">
        <f>VLOOKUP(B20, Reference!$B:$D, 3, TRUE)</f>
        <v>Elshkaki</v>
      </c>
      <c r="D20" s="16">
        <v>0.27</v>
      </c>
      <c r="E20" s="13">
        <v>2.1</v>
      </c>
      <c r="F20" s="2" t="s">
        <v>141</v>
      </c>
    </row>
    <row r="21" spans="2:6" x14ac:dyDescent="0.4">
      <c r="B21" s="2">
        <v>66</v>
      </c>
      <c r="C21" s="12" t="str">
        <f>VLOOKUP(B21, Reference!$B:$D, 3, TRUE)</f>
        <v>Rademaker</v>
      </c>
      <c r="D21" s="16">
        <v>0.46</v>
      </c>
      <c r="E21" s="13"/>
      <c r="F21" s="42" t="s">
        <v>144</v>
      </c>
    </row>
    <row r="22" spans="2:6" x14ac:dyDescent="0.4">
      <c r="B22" s="42">
        <v>67</v>
      </c>
      <c r="C22" s="36" t="str">
        <f>VLOOKUP(B22, Reference!$B:$D, 3, TRUE)</f>
        <v>Hoenderdaal</v>
      </c>
      <c r="D22" s="13">
        <v>13</v>
      </c>
      <c r="E22" s="13">
        <v>45</v>
      </c>
      <c r="F22" s="42"/>
    </row>
    <row r="23" spans="2:6" x14ac:dyDescent="0.4">
      <c r="B23" s="42"/>
      <c r="C23" s="36"/>
      <c r="D23" s="13">
        <v>2.5</v>
      </c>
      <c r="E23" s="13">
        <v>5</v>
      </c>
      <c r="F23" s="42"/>
    </row>
    <row r="24" spans="2:6" x14ac:dyDescent="0.4">
      <c r="B24" s="2">
        <v>13</v>
      </c>
      <c r="C24" s="12" t="str">
        <f>VLOOKUP(B24, Reference!$B:$D, 3, TRUE)</f>
        <v>Valero</v>
      </c>
      <c r="D24" s="15">
        <v>5.5</v>
      </c>
      <c r="E24" s="15">
        <v>9</v>
      </c>
      <c r="F24" s="42" t="s">
        <v>134</v>
      </c>
    </row>
    <row r="25" spans="2:6" x14ac:dyDescent="0.4">
      <c r="B25" s="42">
        <v>16</v>
      </c>
      <c r="C25" s="36" t="str">
        <f>VLOOKUP(B25, Reference!$B:$D, 3, TRUE)</f>
        <v>Watari</v>
      </c>
      <c r="D25" s="15">
        <v>8</v>
      </c>
      <c r="E25" s="15">
        <v>19</v>
      </c>
      <c r="F25" s="42"/>
    </row>
    <row r="26" spans="2:6" x14ac:dyDescent="0.4">
      <c r="B26" s="42"/>
      <c r="C26" s="36"/>
      <c r="D26" s="15">
        <v>5.9</v>
      </c>
      <c r="E26" s="15">
        <v>14</v>
      </c>
      <c r="F26" s="42"/>
    </row>
    <row r="27" spans="2:6" x14ac:dyDescent="0.4">
      <c r="B27" s="42">
        <v>20</v>
      </c>
      <c r="C27" s="36" t="str">
        <f>VLOOKUP(B27, Reference!$B:$D, 3, TRUE)</f>
        <v>de Koning</v>
      </c>
      <c r="D27" s="15"/>
      <c r="E27" s="15">
        <v>5.35</v>
      </c>
      <c r="F27" s="42"/>
    </row>
    <row r="28" spans="2:6" x14ac:dyDescent="0.4">
      <c r="B28" s="42"/>
      <c r="C28" s="36"/>
      <c r="D28" s="15"/>
      <c r="E28" s="15">
        <v>3.23</v>
      </c>
      <c r="F28" s="42"/>
    </row>
    <row r="29" spans="2:6" x14ac:dyDescent="0.4">
      <c r="B29" s="2">
        <v>25</v>
      </c>
      <c r="C29" s="12" t="str">
        <f>VLOOKUP(B29, Reference!$B:$D, 3, TRUE)</f>
        <v>Zhou</v>
      </c>
      <c r="D29" s="15">
        <v>4</v>
      </c>
      <c r="E29" s="15"/>
      <c r="F29" s="42"/>
    </row>
    <row r="30" spans="2:6" x14ac:dyDescent="0.4">
      <c r="B30" s="42">
        <v>40</v>
      </c>
      <c r="C30" s="36" t="str">
        <f>VLOOKUP(B30, Reference!$B:$D, 3, TRUE)</f>
        <v>Schulze</v>
      </c>
      <c r="D30" s="15">
        <v>10</v>
      </c>
      <c r="E30" s="15"/>
      <c r="F30" s="42"/>
    </row>
    <row r="31" spans="2:6" x14ac:dyDescent="0.4">
      <c r="B31" s="42"/>
      <c r="C31" s="36"/>
      <c r="D31" s="15">
        <v>6.6</v>
      </c>
      <c r="E31" s="15"/>
      <c r="F31" s="42"/>
    </row>
    <row r="32" spans="2:6" x14ac:dyDescent="0.4">
      <c r="B32" s="2">
        <v>49</v>
      </c>
      <c r="C32" s="12" t="str">
        <f>VLOOKUP(B32, Reference!$B:$D, 3, TRUE)</f>
        <v>Elshkaki</v>
      </c>
      <c r="D32" s="15">
        <v>3.5</v>
      </c>
      <c r="E32" s="15">
        <v>8</v>
      </c>
      <c r="F32" s="42"/>
    </row>
    <row r="33" spans="2:6" x14ac:dyDescent="0.4">
      <c r="B33" s="42">
        <v>55</v>
      </c>
      <c r="C33" s="36" t="str">
        <f>VLOOKUP(B33, Reference!$B:$D, 3, TRUE)</f>
        <v>Habib</v>
      </c>
      <c r="D33" s="15">
        <v>7</v>
      </c>
      <c r="E33" s="15">
        <v>32</v>
      </c>
      <c r="F33" s="42"/>
    </row>
    <row r="34" spans="2:6" x14ac:dyDescent="0.4">
      <c r="B34" s="42"/>
      <c r="C34" s="36"/>
      <c r="D34" s="15">
        <v>4</v>
      </c>
      <c r="E34" s="15">
        <v>11</v>
      </c>
      <c r="F34" s="42"/>
    </row>
    <row r="35" spans="2:6" x14ac:dyDescent="0.4">
      <c r="B35" s="42">
        <v>67</v>
      </c>
      <c r="C35" s="36" t="str">
        <f>VLOOKUP(B35, Reference!$B:$D, 3, TRUE)</f>
        <v>Hoenderdaal</v>
      </c>
      <c r="D35" s="15">
        <v>15</v>
      </c>
      <c r="E35" s="15">
        <v>50</v>
      </c>
      <c r="F35" s="42"/>
    </row>
    <row r="36" spans="2:6" x14ac:dyDescent="0.4">
      <c r="B36" s="42"/>
      <c r="C36" s="36"/>
      <c r="D36" s="15">
        <v>6</v>
      </c>
      <c r="E36" s="15">
        <v>14</v>
      </c>
      <c r="F36" s="42"/>
    </row>
  </sheetData>
  <mergeCells count="35">
    <mergeCell ref="F24:F36"/>
    <mergeCell ref="B27:B28"/>
    <mergeCell ref="B30:B31"/>
    <mergeCell ref="B33:B34"/>
    <mergeCell ref="B35:B36"/>
    <mergeCell ref="B25:B26"/>
    <mergeCell ref="C27:C28"/>
    <mergeCell ref="C30:C31"/>
    <mergeCell ref="C33:C34"/>
    <mergeCell ref="C35:C36"/>
    <mergeCell ref="B13:B14"/>
    <mergeCell ref="B15:B16"/>
    <mergeCell ref="B18:B19"/>
    <mergeCell ref="B22:B23"/>
    <mergeCell ref="F6:F12"/>
    <mergeCell ref="F13:F14"/>
    <mergeCell ref="F15:F16"/>
    <mergeCell ref="F18:F19"/>
    <mergeCell ref="F21:F23"/>
    <mergeCell ref="D4:D5"/>
    <mergeCell ref="E4:E5"/>
    <mergeCell ref="F4:F5"/>
    <mergeCell ref="B6:B7"/>
    <mergeCell ref="B11:B12"/>
    <mergeCell ref="B9:B10"/>
    <mergeCell ref="C4:C5"/>
    <mergeCell ref="C6:C7"/>
    <mergeCell ref="C9:C10"/>
    <mergeCell ref="C11:C12"/>
    <mergeCell ref="B4:B5"/>
    <mergeCell ref="C13:C14"/>
    <mergeCell ref="C15:C16"/>
    <mergeCell ref="C18:C19"/>
    <mergeCell ref="C22:C23"/>
    <mergeCell ref="C25:C26"/>
  </mergeCells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E0E4-8704-42ED-9408-E7316D3447A4}">
  <dimension ref="A1:F9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1105</v>
      </c>
      <c r="E6" s="13">
        <v>4089</v>
      </c>
      <c r="F6" s="44" t="s">
        <v>151</v>
      </c>
    </row>
    <row r="7" spans="1:6" x14ac:dyDescent="0.4">
      <c r="B7" s="42"/>
      <c r="C7" s="36"/>
      <c r="D7" s="13">
        <v>272</v>
      </c>
      <c r="E7" s="13">
        <v>1048</v>
      </c>
      <c r="F7" s="45"/>
    </row>
    <row r="8" spans="1:6" x14ac:dyDescent="0.4">
      <c r="B8" s="2">
        <v>13</v>
      </c>
      <c r="C8" s="12" t="str">
        <f>VLOOKUP(B8, Reference!$B:$D, 3, TRUE)</f>
        <v>Valero</v>
      </c>
      <c r="D8" s="13">
        <v>200</v>
      </c>
      <c r="E8" s="13">
        <v>500</v>
      </c>
      <c r="F8" s="2" t="s">
        <v>147</v>
      </c>
    </row>
    <row r="9" spans="1:6" x14ac:dyDescent="0.4">
      <c r="B9" s="2">
        <v>13</v>
      </c>
      <c r="C9" s="12" t="str">
        <f>VLOOKUP(B9, Reference!$B:$D, 3, TRUE)</f>
        <v>Valero</v>
      </c>
      <c r="D9" s="17">
        <v>18000</v>
      </c>
      <c r="E9" s="17">
        <v>18000</v>
      </c>
      <c r="F9" s="2" t="s">
        <v>134</v>
      </c>
    </row>
  </sheetData>
  <mergeCells count="8">
    <mergeCell ref="B4:B5"/>
    <mergeCell ref="D4:D5"/>
    <mergeCell ref="E4:E5"/>
    <mergeCell ref="F4:F5"/>
    <mergeCell ref="B6:B7"/>
    <mergeCell ref="F6:F7"/>
    <mergeCell ref="C4:C5"/>
    <mergeCell ref="C6:C7"/>
  </mergeCells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815A-DB4F-429A-9C90-F2D3B41AC5BB}">
  <dimension ref="A1:F33"/>
  <sheetViews>
    <sheetView workbookViewId="0">
      <selection activeCell="C8" sqref="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6">
        <v>2050</v>
      </c>
      <c r="F4" s="47" t="s">
        <v>130</v>
      </c>
    </row>
    <row r="5" spans="1:6" x14ac:dyDescent="0.4">
      <c r="B5" s="35"/>
      <c r="C5" s="35"/>
      <c r="D5" s="40"/>
      <c r="E5" s="46"/>
      <c r="F5" s="47"/>
    </row>
    <row r="6" spans="1:6" x14ac:dyDescent="0.4">
      <c r="B6" s="43">
        <v>3</v>
      </c>
      <c r="C6" s="36" t="str">
        <f>VLOOKUP(B6, Reference!$B:$D, 3, TRUE)</f>
        <v>Watari</v>
      </c>
      <c r="D6" s="13">
        <v>37</v>
      </c>
      <c r="E6" s="13">
        <v>123.5</v>
      </c>
      <c r="F6" s="36" t="s">
        <v>142</v>
      </c>
    </row>
    <row r="7" spans="1:6" x14ac:dyDescent="0.4">
      <c r="B7" s="42"/>
      <c r="C7" s="36"/>
      <c r="D7" s="13">
        <v>16.8</v>
      </c>
      <c r="E7" s="13">
        <v>59</v>
      </c>
      <c r="F7" s="36"/>
    </row>
    <row r="8" spans="1:6" x14ac:dyDescent="0.4">
      <c r="B8" s="2">
        <v>13</v>
      </c>
      <c r="C8" s="12" t="str">
        <f>VLOOKUP(B8, Reference!$B:$D, 3, TRUE)</f>
        <v>Valero</v>
      </c>
      <c r="D8" s="13">
        <v>28</v>
      </c>
      <c r="E8" s="13">
        <v>55</v>
      </c>
      <c r="F8" s="36"/>
    </row>
    <row r="9" spans="1:6" x14ac:dyDescent="0.4">
      <c r="B9" s="42">
        <v>14</v>
      </c>
      <c r="C9" s="36" t="str">
        <f>VLOOKUP(B9, Reference!$B:$D, 3, TRUE)</f>
        <v>Månberger</v>
      </c>
      <c r="D9" s="13">
        <v>35</v>
      </c>
      <c r="E9" s="13">
        <v>80</v>
      </c>
      <c r="F9" s="36"/>
    </row>
    <row r="10" spans="1:6" x14ac:dyDescent="0.4">
      <c r="B10" s="42"/>
      <c r="C10" s="36"/>
      <c r="D10" s="13">
        <v>5</v>
      </c>
      <c r="E10" s="13">
        <v>5</v>
      </c>
      <c r="F10" s="36"/>
    </row>
    <row r="11" spans="1:6" x14ac:dyDescent="0.4">
      <c r="B11" s="42">
        <v>16</v>
      </c>
      <c r="C11" s="36" t="str">
        <f>VLOOKUP(B11, Reference!$B:$D, 3, TRUE)</f>
        <v>Watari</v>
      </c>
      <c r="D11" s="13">
        <v>36</v>
      </c>
      <c r="E11" s="13">
        <v>102</v>
      </c>
      <c r="F11" s="36"/>
    </row>
    <row r="12" spans="1:6" x14ac:dyDescent="0.4">
      <c r="B12" s="42"/>
      <c r="C12" s="36"/>
      <c r="D12" s="13">
        <v>17</v>
      </c>
      <c r="E12" s="13">
        <v>58</v>
      </c>
      <c r="F12" s="36"/>
    </row>
    <row r="13" spans="1:6" x14ac:dyDescent="0.4">
      <c r="B13" s="42">
        <v>18</v>
      </c>
      <c r="C13" s="36" t="str">
        <f>VLOOKUP(B13, Reference!$B:$D, 3, TRUE)</f>
        <v>Deetman</v>
      </c>
      <c r="D13" s="13">
        <v>150</v>
      </c>
      <c r="E13" s="13">
        <v>270</v>
      </c>
      <c r="F13" s="36"/>
    </row>
    <row r="14" spans="1:6" x14ac:dyDescent="0.4">
      <c r="B14" s="42"/>
      <c r="C14" s="36"/>
      <c r="D14" s="13">
        <v>25</v>
      </c>
      <c r="E14" s="13">
        <v>34</v>
      </c>
      <c r="F14" s="36"/>
    </row>
    <row r="15" spans="1:6" x14ac:dyDescent="0.4">
      <c r="B15" s="42">
        <v>20</v>
      </c>
      <c r="C15" s="36" t="str">
        <f>VLOOKUP(B15, Reference!$B:$D, 3, TRUE)</f>
        <v>de Koning</v>
      </c>
      <c r="D15" s="13"/>
      <c r="E15" s="13">
        <v>68</v>
      </c>
      <c r="F15" s="36"/>
    </row>
    <row r="16" spans="1:6" x14ac:dyDescent="0.4">
      <c r="B16" s="42"/>
      <c r="C16" s="36"/>
      <c r="D16" s="13"/>
      <c r="E16" s="16">
        <v>0.09</v>
      </c>
      <c r="F16" s="36"/>
    </row>
    <row r="17" spans="2:6" x14ac:dyDescent="0.4">
      <c r="B17" s="42">
        <v>40</v>
      </c>
      <c r="C17" s="36" t="str">
        <f>VLOOKUP(B17, Reference!$B:$D, 3, TRUE)</f>
        <v>Schulze</v>
      </c>
      <c r="D17" s="13">
        <v>66.8</v>
      </c>
      <c r="E17" s="13"/>
      <c r="F17" s="36"/>
    </row>
    <row r="18" spans="2:6" x14ac:dyDescent="0.4">
      <c r="B18" s="42"/>
      <c r="C18" s="36"/>
      <c r="D18" s="13">
        <v>10</v>
      </c>
      <c r="E18" s="13"/>
      <c r="F18" s="36"/>
    </row>
    <row r="19" spans="2:6" x14ac:dyDescent="0.4">
      <c r="B19" s="42">
        <v>55</v>
      </c>
      <c r="C19" s="36" t="str">
        <f>VLOOKUP(B19, Reference!$B:$D, 3, TRUE)</f>
        <v>Habib</v>
      </c>
      <c r="D19" s="13">
        <v>15</v>
      </c>
      <c r="E19" s="13">
        <v>130</v>
      </c>
      <c r="F19" s="36"/>
    </row>
    <row r="20" spans="2:6" x14ac:dyDescent="0.4">
      <c r="B20" s="42"/>
      <c r="C20" s="36"/>
      <c r="D20" s="13">
        <v>5</v>
      </c>
      <c r="E20" s="13">
        <v>25</v>
      </c>
      <c r="F20" s="36"/>
    </row>
    <row r="21" spans="2:6" x14ac:dyDescent="0.4">
      <c r="B21" s="2">
        <v>60</v>
      </c>
      <c r="C21" s="12" t="str">
        <f>VLOOKUP(B21, Reference!$B:$D, 3, TRUE)</f>
        <v>Elshkaki</v>
      </c>
      <c r="D21" s="13">
        <v>1.5</v>
      </c>
      <c r="E21" s="13">
        <v>12</v>
      </c>
      <c r="F21" s="2" t="s">
        <v>93</v>
      </c>
    </row>
    <row r="22" spans="2:6" x14ac:dyDescent="0.4">
      <c r="B22" s="2">
        <v>66</v>
      </c>
      <c r="C22" s="12" t="str">
        <f>VLOOKUP(B22, Reference!$B:$D, 3, TRUE)</f>
        <v>Rademaker</v>
      </c>
      <c r="D22" s="13">
        <v>1.8</v>
      </c>
      <c r="E22" s="13"/>
      <c r="F22" s="2" t="s">
        <v>143</v>
      </c>
    </row>
    <row r="23" spans="2:6" x14ac:dyDescent="0.4">
      <c r="B23" s="2">
        <v>13</v>
      </c>
      <c r="C23" s="12" t="str">
        <f>VLOOKUP(B23, Reference!$B:$D, 3, TRUE)</f>
        <v>Valero</v>
      </c>
      <c r="D23" s="15">
        <v>42</v>
      </c>
      <c r="E23" s="15">
        <v>70</v>
      </c>
      <c r="F23" s="42" t="s">
        <v>134</v>
      </c>
    </row>
    <row r="24" spans="2:6" x14ac:dyDescent="0.4">
      <c r="B24" s="42">
        <v>16</v>
      </c>
      <c r="C24" s="36" t="str">
        <f>VLOOKUP(B24, Reference!$B:$D, 3, TRUE)</f>
        <v>Watari</v>
      </c>
      <c r="D24" s="15">
        <v>70</v>
      </c>
      <c r="E24" s="15">
        <v>163</v>
      </c>
      <c r="F24" s="42"/>
    </row>
    <row r="25" spans="2:6" x14ac:dyDescent="0.4">
      <c r="B25" s="42"/>
      <c r="C25" s="36"/>
      <c r="D25" s="15">
        <v>52</v>
      </c>
      <c r="E25" s="15">
        <v>118</v>
      </c>
      <c r="F25" s="42"/>
    </row>
    <row r="26" spans="2:6" x14ac:dyDescent="0.4">
      <c r="B26" s="42">
        <v>20</v>
      </c>
      <c r="C26" s="36" t="str">
        <f>VLOOKUP(B26, Reference!$B:$D, 3, TRUE)</f>
        <v>de Koning</v>
      </c>
      <c r="D26" s="15"/>
      <c r="E26" s="15">
        <v>125</v>
      </c>
      <c r="F26" s="42"/>
    </row>
    <row r="27" spans="2:6" x14ac:dyDescent="0.4">
      <c r="B27" s="42"/>
      <c r="C27" s="36"/>
      <c r="D27" s="15"/>
      <c r="E27" s="15">
        <v>58</v>
      </c>
      <c r="F27" s="42"/>
    </row>
    <row r="28" spans="2:6" x14ac:dyDescent="0.4">
      <c r="B28" s="2">
        <v>25</v>
      </c>
      <c r="C28" s="12" t="str">
        <f>VLOOKUP(B28, Reference!$B:$D, 3, TRUE)</f>
        <v>Zhou</v>
      </c>
      <c r="D28" s="15">
        <v>39</v>
      </c>
      <c r="E28" s="15"/>
      <c r="F28" s="42"/>
    </row>
    <row r="29" spans="2:6" x14ac:dyDescent="0.4">
      <c r="B29" s="42">
        <v>40</v>
      </c>
      <c r="C29" s="36" t="str">
        <f>VLOOKUP(B29, Reference!$B:$D, 3, TRUE)</f>
        <v>Schulze</v>
      </c>
      <c r="D29" s="15">
        <v>194</v>
      </c>
      <c r="E29" s="15"/>
      <c r="F29" s="42"/>
    </row>
    <row r="30" spans="2:6" x14ac:dyDescent="0.4">
      <c r="B30" s="42"/>
      <c r="C30" s="36"/>
      <c r="D30" s="15">
        <v>71</v>
      </c>
      <c r="E30" s="15"/>
      <c r="F30" s="42"/>
    </row>
    <row r="31" spans="2:6" x14ac:dyDescent="0.4">
      <c r="B31" s="42">
        <v>55</v>
      </c>
      <c r="C31" s="36" t="str">
        <f>VLOOKUP(B31, Reference!$B:$D, 3, TRUE)</f>
        <v>Habib</v>
      </c>
      <c r="D31" s="15">
        <v>70</v>
      </c>
      <c r="E31" s="15">
        <v>242</v>
      </c>
      <c r="F31" s="42"/>
    </row>
    <row r="32" spans="2:6" x14ac:dyDescent="0.4">
      <c r="B32" s="42"/>
      <c r="C32" s="36"/>
      <c r="D32" s="15">
        <v>45</v>
      </c>
      <c r="E32" s="15">
        <v>100</v>
      </c>
      <c r="F32" s="42"/>
    </row>
    <row r="33" spans="2:6" x14ac:dyDescent="0.4">
      <c r="B33" s="2">
        <v>66</v>
      </c>
      <c r="C33" s="12" t="str">
        <f>VLOOKUP(B33, Reference!$B:$D, 3, TRUE)</f>
        <v>Rademaker</v>
      </c>
      <c r="D33" s="15">
        <v>220</v>
      </c>
      <c r="E33" s="15"/>
      <c r="F33" s="42"/>
    </row>
  </sheetData>
  <mergeCells count="29">
    <mergeCell ref="B26:B27"/>
    <mergeCell ref="B29:B30"/>
    <mergeCell ref="B31:B32"/>
    <mergeCell ref="F6:F20"/>
    <mergeCell ref="F23:F33"/>
    <mergeCell ref="B11:B12"/>
    <mergeCell ref="B13:B14"/>
    <mergeCell ref="B15:B16"/>
    <mergeCell ref="B17:B18"/>
    <mergeCell ref="B19:B20"/>
    <mergeCell ref="B24:B25"/>
    <mergeCell ref="B9:B10"/>
    <mergeCell ref="C9:C10"/>
    <mergeCell ref="C11:C12"/>
    <mergeCell ref="C13:C14"/>
    <mergeCell ref="C15:C16"/>
    <mergeCell ref="B4:B5"/>
    <mergeCell ref="D4:D5"/>
    <mergeCell ref="E4:E5"/>
    <mergeCell ref="F4:F5"/>
    <mergeCell ref="B6:B7"/>
    <mergeCell ref="C4:C5"/>
    <mergeCell ref="C6:C7"/>
    <mergeCell ref="C31:C32"/>
    <mergeCell ref="C17:C18"/>
    <mergeCell ref="C19:C20"/>
    <mergeCell ref="C24:C25"/>
    <mergeCell ref="C26:C27"/>
    <mergeCell ref="C29:C30"/>
  </mergeCells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667A-6911-40B9-BB0A-28DFFA0E63FA}">
  <dimension ref="A1:F23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229.5</v>
      </c>
      <c r="E6" s="13">
        <v>1280</v>
      </c>
      <c r="F6" s="43" t="s">
        <v>137</v>
      </c>
    </row>
    <row r="7" spans="1:6" x14ac:dyDescent="0.4">
      <c r="B7" s="42"/>
      <c r="C7" s="36"/>
      <c r="D7" s="13">
        <v>64.8</v>
      </c>
      <c r="E7" s="13">
        <v>277</v>
      </c>
      <c r="F7" s="42"/>
    </row>
    <row r="8" spans="1:6" x14ac:dyDescent="0.4">
      <c r="B8" s="2">
        <v>13</v>
      </c>
      <c r="C8" s="12" t="str">
        <f>VLOOKUP(B8, Reference!$B:$D, 3, TRUE)</f>
        <v>Valero</v>
      </c>
      <c r="D8" s="13">
        <v>120</v>
      </c>
      <c r="E8" s="13">
        <v>310</v>
      </c>
      <c r="F8" s="42"/>
    </row>
    <row r="9" spans="1:6" x14ac:dyDescent="0.4">
      <c r="B9" s="42">
        <v>14</v>
      </c>
      <c r="C9" s="36" t="str">
        <f>VLOOKUP(B9, Reference!$B:$D, 3, TRUE)</f>
        <v>Månberger</v>
      </c>
      <c r="D9" s="13">
        <v>80</v>
      </c>
      <c r="E9" s="13">
        <v>290</v>
      </c>
      <c r="F9" s="42"/>
    </row>
    <row r="10" spans="1:6" x14ac:dyDescent="0.4">
      <c r="B10" s="42"/>
      <c r="C10" s="36"/>
      <c r="D10" s="13">
        <v>200</v>
      </c>
      <c r="E10" s="13">
        <v>250</v>
      </c>
      <c r="F10" s="42"/>
    </row>
    <row r="11" spans="1:6" x14ac:dyDescent="0.4">
      <c r="B11" s="42">
        <v>16</v>
      </c>
      <c r="C11" s="36" t="str">
        <f>VLOOKUP(B11, Reference!$B:$D, 3, TRUE)</f>
        <v>Watari</v>
      </c>
      <c r="D11" s="13">
        <v>210</v>
      </c>
      <c r="E11" s="13">
        <v>860</v>
      </c>
      <c r="F11" s="42"/>
    </row>
    <row r="12" spans="1:6" x14ac:dyDescent="0.4">
      <c r="B12" s="42"/>
      <c r="C12" s="36"/>
      <c r="D12" s="13">
        <v>50</v>
      </c>
      <c r="E12" s="13">
        <v>210</v>
      </c>
      <c r="F12" s="42"/>
    </row>
    <row r="13" spans="1:6" x14ac:dyDescent="0.4">
      <c r="B13" s="42">
        <v>18</v>
      </c>
      <c r="C13" s="36" t="str">
        <f>VLOOKUP(B13, Reference!$B:$D, 3, TRUE)</f>
        <v>Deetman</v>
      </c>
      <c r="D13" s="13">
        <v>350</v>
      </c>
      <c r="E13" s="13">
        <v>630</v>
      </c>
      <c r="F13" s="42"/>
    </row>
    <row r="14" spans="1:6" x14ac:dyDescent="0.4">
      <c r="B14" s="42"/>
      <c r="C14" s="36"/>
      <c r="D14" s="13">
        <v>25</v>
      </c>
      <c r="E14" s="13">
        <v>65</v>
      </c>
      <c r="F14" s="42"/>
    </row>
    <row r="15" spans="1:6" x14ac:dyDescent="0.4">
      <c r="B15" s="42">
        <v>23</v>
      </c>
      <c r="C15" s="36" t="str">
        <f>VLOOKUP(B15, Reference!$B:$D, 3, TRUE)</f>
        <v>Harvey</v>
      </c>
      <c r="D15" s="13">
        <v>130</v>
      </c>
      <c r="E15" s="13">
        <v>500</v>
      </c>
      <c r="F15" s="42"/>
    </row>
    <row r="16" spans="1:6" x14ac:dyDescent="0.4">
      <c r="B16" s="42"/>
      <c r="C16" s="36"/>
      <c r="D16" s="13">
        <v>80</v>
      </c>
      <c r="E16" s="13">
        <v>300</v>
      </c>
      <c r="F16" s="42"/>
    </row>
    <row r="17" spans="2:6" x14ac:dyDescent="0.4">
      <c r="B17" s="42">
        <v>34</v>
      </c>
      <c r="C17" s="36" t="str">
        <f>VLOOKUP(B17, Reference!$B:$D, 3, TRUE)</f>
        <v>Pehlken</v>
      </c>
      <c r="D17" s="13">
        <v>65</v>
      </c>
      <c r="E17" s="13">
        <v>246</v>
      </c>
      <c r="F17" s="42"/>
    </row>
    <row r="18" spans="2:6" x14ac:dyDescent="0.4">
      <c r="B18" s="42"/>
      <c r="C18" s="36"/>
      <c r="D18" s="13">
        <v>3</v>
      </c>
      <c r="E18" s="13">
        <v>6</v>
      </c>
      <c r="F18" s="42"/>
    </row>
    <row r="19" spans="2:6" x14ac:dyDescent="0.4">
      <c r="B19" s="2">
        <v>13</v>
      </c>
      <c r="C19" s="12" t="str">
        <f>VLOOKUP(B19, Reference!$B:$D, 3, TRUE)</f>
        <v>Valero</v>
      </c>
      <c r="D19" s="17">
        <v>230</v>
      </c>
      <c r="E19" s="17">
        <v>420</v>
      </c>
      <c r="F19" s="42" t="s">
        <v>134</v>
      </c>
    </row>
    <row r="20" spans="2:6" x14ac:dyDescent="0.4">
      <c r="B20" s="42">
        <v>16</v>
      </c>
      <c r="C20" s="36" t="str">
        <f>VLOOKUP(B20, Reference!$B:$D, 3, TRUE)</f>
        <v>Watari</v>
      </c>
      <c r="D20" s="17">
        <v>440</v>
      </c>
      <c r="E20" s="17">
        <v>1260</v>
      </c>
      <c r="F20" s="42"/>
    </row>
    <row r="21" spans="2:6" x14ac:dyDescent="0.4">
      <c r="B21" s="42"/>
      <c r="C21" s="36"/>
      <c r="D21" s="17">
        <v>280</v>
      </c>
      <c r="E21" s="17">
        <v>610</v>
      </c>
      <c r="F21" s="42"/>
    </row>
    <row r="22" spans="2:6" x14ac:dyDescent="0.4">
      <c r="B22" s="42">
        <v>23</v>
      </c>
      <c r="C22" s="36" t="str">
        <f>VLOOKUP(B22, Reference!$B:$D, 3, TRUE)</f>
        <v>Harvey</v>
      </c>
      <c r="D22" s="17">
        <v>250</v>
      </c>
      <c r="E22" s="17">
        <v>700</v>
      </c>
      <c r="F22" s="42"/>
    </row>
    <row r="23" spans="2:6" x14ac:dyDescent="0.4">
      <c r="B23" s="42"/>
      <c r="C23" s="36"/>
      <c r="D23" s="17">
        <v>200</v>
      </c>
      <c r="E23" s="17">
        <v>500</v>
      </c>
      <c r="F23" s="42"/>
    </row>
  </sheetData>
  <mergeCells count="23">
    <mergeCell ref="F19:F23"/>
    <mergeCell ref="B11:B12"/>
    <mergeCell ref="B13:B14"/>
    <mergeCell ref="B15:B16"/>
    <mergeCell ref="B17:B18"/>
    <mergeCell ref="B20:B21"/>
    <mergeCell ref="B22:B23"/>
    <mergeCell ref="C20:C21"/>
    <mergeCell ref="C22:C23"/>
    <mergeCell ref="B9:B10"/>
    <mergeCell ref="F6:F18"/>
    <mergeCell ref="C4:C5"/>
    <mergeCell ref="C6:C7"/>
    <mergeCell ref="C9:C10"/>
    <mergeCell ref="C11:C12"/>
    <mergeCell ref="C13:C14"/>
    <mergeCell ref="C15:C16"/>
    <mergeCell ref="C17:C18"/>
    <mergeCell ref="B4:B5"/>
    <mergeCell ref="D4:D5"/>
    <mergeCell ref="E4:E5"/>
    <mergeCell ref="F4:F5"/>
    <mergeCell ref="B6:B7"/>
  </mergeCells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BDF8-CB1A-4A81-88BC-0569B17F0DF9}">
  <dimension ref="A1:F8"/>
  <sheetViews>
    <sheetView workbookViewId="0">
      <selection activeCell="C8" sqref="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45</v>
      </c>
      <c r="C6" s="36" t="str">
        <f>VLOOKUP(B6, Reference!$B:$D, 3, TRUE)</f>
        <v>Elshkaki</v>
      </c>
      <c r="D6" s="14">
        <v>0.3</v>
      </c>
      <c r="E6" s="14">
        <v>2.5</v>
      </c>
      <c r="F6" s="43" t="s">
        <v>146</v>
      </c>
    </row>
    <row r="7" spans="1:6" x14ac:dyDescent="0.4">
      <c r="B7" s="42"/>
      <c r="C7" s="36"/>
      <c r="D7" s="14">
        <v>0.3</v>
      </c>
      <c r="E7" s="14">
        <v>2.5</v>
      </c>
      <c r="F7" s="42"/>
    </row>
    <row r="8" spans="1:6" x14ac:dyDescent="0.4">
      <c r="B8" s="2">
        <v>60</v>
      </c>
      <c r="C8" s="12" t="str">
        <f>VLOOKUP(B8, Reference!$B:$D, 3, TRUE)</f>
        <v>Elshkaki</v>
      </c>
      <c r="D8" s="15">
        <v>0.5</v>
      </c>
      <c r="E8" s="15">
        <v>2.8</v>
      </c>
      <c r="F8" s="2" t="s">
        <v>134</v>
      </c>
    </row>
  </sheetData>
  <mergeCells count="8">
    <mergeCell ref="B4:B5"/>
    <mergeCell ref="D4:D5"/>
    <mergeCell ref="E4:E5"/>
    <mergeCell ref="F4:F5"/>
    <mergeCell ref="B6:B7"/>
    <mergeCell ref="F6:F7"/>
    <mergeCell ref="C4:C5"/>
    <mergeCell ref="C6:C7"/>
  </mergeCells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8EB8-5078-4946-BA30-CC2834B5703A}">
  <dimension ref="A1:F20"/>
  <sheetViews>
    <sheetView workbookViewId="0">
      <selection activeCell="C20" sqref="C20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6">
        <v>0.14000000000000001</v>
      </c>
      <c r="E6" s="16">
        <v>0.53</v>
      </c>
      <c r="F6" s="43" t="s">
        <v>135</v>
      </c>
    </row>
    <row r="7" spans="1:6" x14ac:dyDescent="0.4">
      <c r="B7" s="42"/>
      <c r="C7" s="36"/>
      <c r="D7" s="16">
        <v>0.1</v>
      </c>
      <c r="E7" s="16">
        <v>0.24</v>
      </c>
      <c r="F7" s="36"/>
    </row>
    <row r="8" spans="1:6" x14ac:dyDescent="0.4">
      <c r="B8" s="42">
        <v>14</v>
      </c>
      <c r="C8" s="36" t="str">
        <f>VLOOKUP(B8, Reference!$B:$D, 3, TRUE)</f>
        <v>Månberger</v>
      </c>
      <c r="D8" s="16">
        <v>0.1</v>
      </c>
      <c r="E8" s="16">
        <v>0.28000000000000003</v>
      </c>
      <c r="F8" s="36"/>
    </row>
    <row r="9" spans="1:6" x14ac:dyDescent="0.4">
      <c r="B9" s="42"/>
      <c r="C9" s="36"/>
      <c r="D9" s="16">
        <v>0.02</v>
      </c>
      <c r="E9" s="16">
        <v>0.02</v>
      </c>
      <c r="F9" s="36"/>
    </row>
    <row r="10" spans="1:6" x14ac:dyDescent="0.4">
      <c r="B10" s="42">
        <v>16</v>
      </c>
      <c r="C10" s="36" t="str">
        <f>VLOOKUP(B10, Reference!$B:$D, 3, TRUE)</f>
        <v>Watari</v>
      </c>
      <c r="D10" s="16">
        <v>0.3</v>
      </c>
      <c r="E10" s="16">
        <v>1.2</v>
      </c>
      <c r="F10" s="36"/>
    </row>
    <row r="11" spans="1:6" x14ac:dyDescent="0.4">
      <c r="B11" s="42"/>
      <c r="C11" s="36"/>
      <c r="D11" s="16">
        <v>0.01</v>
      </c>
      <c r="E11" s="16">
        <v>0.2</v>
      </c>
      <c r="F11" s="36"/>
    </row>
    <row r="12" spans="1:6" x14ac:dyDescent="0.4">
      <c r="B12" s="42">
        <v>28</v>
      </c>
      <c r="C12" s="36" t="str">
        <f>VLOOKUP(B12, Reference!$B:$D, 3, TRUE)</f>
        <v>Davidsson</v>
      </c>
      <c r="D12" s="16">
        <v>1.3</v>
      </c>
      <c r="E12" s="16">
        <v>1.3</v>
      </c>
      <c r="F12" s="36"/>
    </row>
    <row r="13" spans="1:6" x14ac:dyDescent="0.4">
      <c r="B13" s="42"/>
      <c r="C13" s="36"/>
      <c r="D13" s="16">
        <v>0.25</v>
      </c>
      <c r="E13" s="16">
        <v>0.25</v>
      </c>
      <c r="F13" s="36"/>
    </row>
    <row r="14" spans="1:6" x14ac:dyDescent="0.4">
      <c r="B14" s="2">
        <v>60</v>
      </c>
      <c r="C14" s="12" t="str">
        <f>VLOOKUP(B14, Reference!$B:$D, 3, TRUE)</f>
        <v>Elshkaki</v>
      </c>
      <c r="D14" s="16">
        <v>0.05</v>
      </c>
      <c r="E14" s="16">
        <v>0.24</v>
      </c>
      <c r="F14" s="36"/>
    </row>
    <row r="15" spans="1:6" x14ac:dyDescent="0.4">
      <c r="B15" s="2">
        <v>62</v>
      </c>
      <c r="C15" s="12" t="str">
        <f>VLOOKUP(B15, Reference!$B:$D, 3, TRUE)</f>
        <v>Fizaine</v>
      </c>
      <c r="D15" s="16">
        <v>0.1</v>
      </c>
      <c r="E15" s="16">
        <v>0.15</v>
      </c>
      <c r="F15" s="36"/>
    </row>
    <row r="16" spans="1:6" x14ac:dyDescent="0.4">
      <c r="B16" s="42">
        <v>16</v>
      </c>
      <c r="C16" s="36" t="str">
        <f>VLOOKUP(B16, Reference!$B:$D, 3, TRUE)</f>
        <v>Watari</v>
      </c>
      <c r="D16" s="18">
        <v>1.2</v>
      </c>
      <c r="E16" s="18">
        <v>2.8</v>
      </c>
      <c r="F16" s="42" t="s">
        <v>134</v>
      </c>
    </row>
    <row r="17" spans="2:6" x14ac:dyDescent="0.4">
      <c r="B17" s="42"/>
      <c r="C17" s="36"/>
      <c r="D17" s="18">
        <v>1</v>
      </c>
      <c r="E17" s="18">
        <v>1.7</v>
      </c>
      <c r="F17" s="42"/>
    </row>
    <row r="18" spans="2:6" x14ac:dyDescent="0.4">
      <c r="B18" s="42">
        <v>39</v>
      </c>
      <c r="C18" s="36" t="str">
        <f>VLOOKUP(B18, Reference!$B:$D, 3, TRUE)</f>
        <v>Løvik</v>
      </c>
      <c r="D18" s="18">
        <v>2.8</v>
      </c>
      <c r="E18" s="18">
        <v>5.25</v>
      </c>
      <c r="F18" s="42"/>
    </row>
    <row r="19" spans="2:6" x14ac:dyDescent="0.4">
      <c r="B19" s="42"/>
      <c r="C19" s="36"/>
      <c r="D19" s="18">
        <v>0.5</v>
      </c>
      <c r="E19" s="18">
        <v>0.85</v>
      </c>
      <c r="F19" s="42"/>
    </row>
    <row r="20" spans="2:6" x14ac:dyDescent="0.4">
      <c r="B20" s="2">
        <v>46</v>
      </c>
      <c r="C20" s="12" t="str">
        <f>VLOOKUP(B20, Reference!$B:$D, 3, TRUE)</f>
        <v>Kavlak</v>
      </c>
      <c r="D20" s="15">
        <v>2.5</v>
      </c>
      <c r="E20" s="15"/>
      <c r="F20" s="42"/>
    </row>
  </sheetData>
  <mergeCells count="19">
    <mergeCell ref="B18:B19"/>
    <mergeCell ref="F6:F15"/>
    <mergeCell ref="F16:F20"/>
    <mergeCell ref="B12:B13"/>
    <mergeCell ref="B6:B7"/>
    <mergeCell ref="B8:B9"/>
    <mergeCell ref="B10:B11"/>
    <mergeCell ref="B16:B17"/>
    <mergeCell ref="C6:C7"/>
    <mergeCell ref="C8:C9"/>
    <mergeCell ref="C10:C11"/>
    <mergeCell ref="C12:C13"/>
    <mergeCell ref="C16:C17"/>
    <mergeCell ref="C18:C19"/>
    <mergeCell ref="B4:B5"/>
    <mergeCell ref="D4:D5"/>
    <mergeCell ref="E4:E5"/>
    <mergeCell ref="F4:F5"/>
    <mergeCell ref="C4:C5"/>
  </mergeCells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19D1-7DFA-424F-A757-B03D5C821EDD}">
  <dimension ref="A1:F21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3823</v>
      </c>
      <c r="E6" s="13">
        <v>12492</v>
      </c>
      <c r="F6" s="44" t="s">
        <v>152</v>
      </c>
    </row>
    <row r="7" spans="1:6" x14ac:dyDescent="0.4">
      <c r="B7" s="42"/>
      <c r="C7" s="36"/>
      <c r="D7" s="13">
        <v>1676</v>
      </c>
      <c r="E7" s="13">
        <v>5100</v>
      </c>
      <c r="F7" s="45"/>
    </row>
    <row r="8" spans="1:6" x14ac:dyDescent="0.4">
      <c r="B8" s="42">
        <v>14</v>
      </c>
      <c r="C8" s="36" t="str">
        <f>VLOOKUP(B8, Reference!$B:$D, 3, TRUE)</f>
        <v>Månberger</v>
      </c>
      <c r="D8" s="13">
        <v>2500</v>
      </c>
      <c r="E8" s="13">
        <v>6000</v>
      </c>
      <c r="F8" s="45" t="s">
        <v>138</v>
      </c>
    </row>
    <row r="9" spans="1:6" x14ac:dyDescent="0.4">
      <c r="B9" s="42"/>
      <c r="C9" s="36"/>
      <c r="D9" s="13">
        <v>1000</v>
      </c>
      <c r="E9" s="13">
        <v>1000</v>
      </c>
      <c r="F9" s="45"/>
    </row>
    <row r="10" spans="1:6" x14ac:dyDescent="0.4">
      <c r="B10" s="42">
        <v>16</v>
      </c>
      <c r="C10" s="36" t="str">
        <f>VLOOKUP(B10, Reference!$B:$D, 3, TRUE)</f>
        <v>Watari</v>
      </c>
      <c r="D10" s="13">
        <v>3500</v>
      </c>
      <c r="E10" s="13">
        <v>11000</v>
      </c>
      <c r="F10" s="45" t="s">
        <v>153</v>
      </c>
    </row>
    <row r="11" spans="1:6" x14ac:dyDescent="0.4">
      <c r="B11" s="42"/>
      <c r="C11" s="36"/>
      <c r="D11" s="13">
        <v>1600</v>
      </c>
      <c r="E11" s="13">
        <v>4900</v>
      </c>
      <c r="F11" s="45"/>
    </row>
    <row r="12" spans="1:6" x14ac:dyDescent="0.4">
      <c r="B12" s="42">
        <v>18</v>
      </c>
      <c r="C12" s="36" t="str">
        <f>VLOOKUP(B12, Reference!$B:$D, 3, TRUE)</f>
        <v>Deetman</v>
      </c>
      <c r="D12" s="13">
        <v>9000</v>
      </c>
      <c r="E12" s="13">
        <v>17200</v>
      </c>
      <c r="F12" s="45" t="s">
        <v>138</v>
      </c>
    </row>
    <row r="13" spans="1:6" x14ac:dyDescent="0.4">
      <c r="B13" s="42"/>
      <c r="C13" s="36"/>
      <c r="D13" s="13">
        <v>6500</v>
      </c>
      <c r="E13" s="13">
        <v>8230</v>
      </c>
      <c r="F13" s="45"/>
    </row>
    <row r="14" spans="1:6" ht="12.75" customHeight="1" x14ac:dyDescent="0.4">
      <c r="B14" s="42">
        <v>50</v>
      </c>
      <c r="C14" s="36" t="str">
        <f>VLOOKUP(B14, Reference!$B:$D, 3, TRUE)</f>
        <v>Davidsson</v>
      </c>
      <c r="D14" s="13">
        <v>7900</v>
      </c>
      <c r="E14" s="13">
        <v>5900</v>
      </c>
      <c r="F14" s="42" t="s">
        <v>141</v>
      </c>
    </row>
    <row r="15" spans="1:6" ht="12.75" customHeight="1" x14ac:dyDescent="0.4">
      <c r="B15" s="42"/>
      <c r="C15" s="36"/>
      <c r="D15" s="13"/>
      <c r="E15" s="13">
        <v>2400</v>
      </c>
      <c r="F15" s="42"/>
    </row>
    <row r="16" spans="1:6" x14ac:dyDescent="0.4">
      <c r="B16" s="42">
        <v>16</v>
      </c>
      <c r="C16" s="36" t="str">
        <f>VLOOKUP(B16, Reference!$B:$D, 3, TRUE)</f>
        <v>Watari</v>
      </c>
      <c r="D16" s="17">
        <v>57000</v>
      </c>
      <c r="E16" s="17">
        <v>108000</v>
      </c>
      <c r="F16" s="42" t="s">
        <v>134</v>
      </c>
    </row>
    <row r="17" spans="2:6" x14ac:dyDescent="0.4">
      <c r="B17" s="42"/>
      <c r="C17" s="36"/>
      <c r="D17" s="17">
        <v>56000</v>
      </c>
      <c r="E17" s="17">
        <v>102000</v>
      </c>
      <c r="F17" s="42"/>
    </row>
    <row r="18" spans="2:6" x14ac:dyDescent="0.4">
      <c r="B18" s="42">
        <v>20</v>
      </c>
      <c r="C18" s="36" t="str">
        <f>VLOOKUP(B18, Reference!$B:$D, 3, TRUE)</f>
        <v>de Koning</v>
      </c>
      <c r="D18" s="17"/>
      <c r="E18" s="17">
        <v>37000</v>
      </c>
      <c r="F18" s="42"/>
    </row>
    <row r="19" spans="2:6" x14ac:dyDescent="0.4">
      <c r="B19" s="42"/>
      <c r="C19" s="36"/>
      <c r="D19" s="17"/>
      <c r="E19" s="17">
        <v>27000</v>
      </c>
      <c r="F19" s="42"/>
    </row>
    <row r="20" spans="2:6" x14ac:dyDescent="0.4">
      <c r="B20" s="42">
        <v>22</v>
      </c>
      <c r="C20" s="36" t="str">
        <f>VLOOKUP(B20, Reference!$B:$D, 3, TRUE)</f>
        <v>Schipper</v>
      </c>
      <c r="D20" s="17">
        <v>55000</v>
      </c>
      <c r="E20" s="17">
        <v>120000</v>
      </c>
      <c r="F20" s="42"/>
    </row>
    <row r="21" spans="2:6" x14ac:dyDescent="0.4">
      <c r="B21" s="42"/>
      <c r="C21" s="36"/>
      <c r="D21" s="17">
        <v>30000</v>
      </c>
      <c r="E21" s="17">
        <v>40000</v>
      </c>
      <c r="F21" s="42"/>
    </row>
  </sheetData>
  <mergeCells count="27">
    <mergeCell ref="F10:F11"/>
    <mergeCell ref="F12:F13"/>
    <mergeCell ref="F14:F15"/>
    <mergeCell ref="F16:F21"/>
    <mergeCell ref="B10:B11"/>
    <mergeCell ref="B12:B13"/>
    <mergeCell ref="B14:B15"/>
    <mergeCell ref="B16:B17"/>
    <mergeCell ref="B18:B19"/>
    <mergeCell ref="B20:B21"/>
    <mergeCell ref="C10:C11"/>
    <mergeCell ref="C12:C13"/>
    <mergeCell ref="C14:C15"/>
    <mergeCell ref="C16:C17"/>
    <mergeCell ref="C18:C19"/>
    <mergeCell ref="C20:C21"/>
    <mergeCell ref="B8:B9"/>
    <mergeCell ref="F6:F7"/>
    <mergeCell ref="F8:F9"/>
    <mergeCell ref="C4:C5"/>
    <mergeCell ref="C6:C7"/>
    <mergeCell ref="C8:C9"/>
    <mergeCell ref="B4:B5"/>
    <mergeCell ref="D4:D5"/>
    <mergeCell ref="E4:E5"/>
    <mergeCell ref="F4:F5"/>
    <mergeCell ref="B6:B7"/>
  </mergeCells>
  <phoneticPr fontId="3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1871-04DE-4BA4-A4F2-85C5B6829153}">
  <dimension ref="A1:F11"/>
  <sheetViews>
    <sheetView workbookViewId="0">
      <selection activeCell="C7" sqref="C7: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2">
        <v>13</v>
      </c>
      <c r="C6" s="12" t="str">
        <f>VLOOKUP(B6, Reference!$B:$D, 3, TRUE)</f>
        <v>Valero</v>
      </c>
      <c r="D6" s="14">
        <v>0.3</v>
      </c>
      <c r="E6" s="22">
        <v>0.65</v>
      </c>
      <c r="F6" s="43" t="s">
        <v>137</v>
      </c>
    </row>
    <row r="7" spans="1:6" x14ac:dyDescent="0.4">
      <c r="B7" s="42">
        <v>18</v>
      </c>
      <c r="C7" s="36" t="str">
        <f>VLOOKUP(B7, Reference!$B:$D, 3, TRUE)</f>
        <v>Deetman</v>
      </c>
      <c r="D7" s="14">
        <v>2.2999999999999998</v>
      </c>
      <c r="E7" s="14">
        <v>3.2</v>
      </c>
      <c r="F7" s="42"/>
    </row>
    <row r="8" spans="1:6" x14ac:dyDescent="0.4">
      <c r="B8" s="42"/>
      <c r="C8" s="36"/>
      <c r="D8" s="14">
        <v>0.6</v>
      </c>
      <c r="E8" s="14">
        <v>0.9</v>
      </c>
      <c r="F8" s="42"/>
    </row>
    <row r="9" spans="1:6" x14ac:dyDescent="0.4">
      <c r="B9" s="2">
        <v>13</v>
      </c>
      <c r="C9" s="12" t="str">
        <f>VLOOKUP(B9, Reference!$B:$D, 3, TRUE)</f>
        <v>Valero</v>
      </c>
      <c r="D9" s="15">
        <v>1.5</v>
      </c>
      <c r="E9" s="15">
        <v>1.8</v>
      </c>
      <c r="F9" s="42" t="s">
        <v>134</v>
      </c>
    </row>
    <row r="10" spans="1:6" x14ac:dyDescent="0.4">
      <c r="B10" s="42">
        <v>18</v>
      </c>
      <c r="C10" s="36" t="str">
        <f>VLOOKUP(B10, Reference!$B:$D, 3, TRUE)</f>
        <v>Deetman</v>
      </c>
      <c r="D10" s="15">
        <v>4.7</v>
      </c>
      <c r="E10" s="15">
        <v>6.6</v>
      </c>
      <c r="F10" s="42"/>
    </row>
    <row r="11" spans="1:6" x14ac:dyDescent="0.4">
      <c r="B11" s="42"/>
      <c r="C11" s="36"/>
      <c r="D11" s="15">
        <v>1.5</v>
      </c>
      <c r="E11" s="15">
        <v>2.2000000000000002</v>
      </c>
      <c r="F11" s="42"/>
    </row>
  </sheetData>
  <mergeCells count="11">
    <mergeCell ref="B10:B11"/>
    <mergeCell ref="F6:F8"/>
    <mergeCell ref="F9:F11"/>
    <mergeCell ref="C4:C5"/>
    <mergeCell ref="C7:C8"/>
    <mergeCell ref="C10:C11"/>
    <mergeCell ref="B4:B5"/>
    <mergeCell ref="D4:D5"/>
    <mergeCell ref="E4:E5"/>
    <mergeCell ref="F4:F5"/>
    <mergeCell ref="B7:B8"/>
  </mergeCells>
  <phoneticPr fontId="3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E3C2-7D12-4A77-9D09-8AFAD7F34FD6}">
  <dimension ref="A1:F15"/>
  <sheetViews>
    <sheetView workbookViewId="0">
      <selection activeCell="C8" sqref="C8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833</v>
      </c>
      <c r="E6" s="13">
        <v>3394</v>
      </c>
      <c r="F6" s="43" t="s">
        <v>137</v>
      </c>
    </row>
    <row r="7" spans="1:6" x14ac:dyDescent="0.4">
      <c r="B7" s="42"/>
      <c r="C7" s="36"/>
      <c r="D7" s="13">
        <v>223</v>
      </c>
      <c r="E7" s="13">
        <v>896</v>
      </c>
      <c r="F7" s="42"/>
    </row>
    <row r="8" spans="1:6" x14ac:dyDescent="0.4">
      <c r="B8" s="2">
        <v>13</v>
      </c>
      <c r="C8" s="12" t="str">
        <f>VLOOKUP(B8, Reference!$B:$D, 3, TRUE)</f>
        <v>Valero</v>
      </c>
      <c r="D8" s="13">
        <v>750</v>
      </c>
      <c r="E8" s="13">
        <v>2000</v>
      </c>
      <c r="F8" s="1" t="s">
        <v>139</v>
      </c>
    </row>
    <row r="9" spans="1:6" x14ac:dyDescent="0.4">
      <c r="B9" s="42">
        <v>14</v>
      </c>
      <c r="C9" s="36" t="str">
        <f>VLOOKUP(B9, Reference!$B:$D, 3, TRUE)</f>
        <v>Månberger</v>
      </c>
      <c r="D9" s="13">
        <v>1200</v>
      </c>
      <c r="E9" s="13">
        <v>4500</v>
      </c>
      <c r="F9" s="42" t="s">
        <v>140</v>
      </c>
    </row>
    <row r="10" spans="1:6" x14ac:dyDescent="0.4">
      <c r="B10" s="42"/>
      <c r="C10" s="36"/>
      <c r="D10" s="13">
        <v>200</v>
      </c>
      <c r="E10" s="13">
        <v>200</v>
      </c>
      <c r="F10" s="42"/>
    </row>
    <row r="11" spans="1:6" x14ac:dyDescent="0.4">
      <c r="B11" s="42">
        <v>16</v>
      </c>
      <c r="C11" s="36" t="str">
        <f>VLOOKUP(B11, Reference!$B:$D, 3, TRUE)</f>
        <v>Watari</v>
      </c>
      <c r="D11" s="13">
        <v>1100</v>
      </c>
      <c r="E11" s="13">
        <v>4500</v>
      </c>
      <c r="F11" s="42" t="s">
        <v>137</v>
      </c>
    </row>
    <row r="12" spans="1:6" x14ac:dyDescent="0.4">
      <c r="B12" s="42"/>
      <c r="C12" s="36"/>
      <c r="D12" s="13">
        <v>300</v>
      </c>
      <c r="E12" s="13">
        <v>1100</v>
      </c>
      <c r="F12" s="42"/>
    </row>
    <row r="13" spans="1:6" x14ac:dyDescent="0.4">
      <c r="B13" s="2">
        <v>13</v>
      </c>
      <c r="C13" s="12" t="str">
        <f>VLOOKUP(B13, Reference!$B:$D, 3, TRUE)</f>
        <v>Valero</v>
      </c>
      <c r="D13" s="17">
        <v>3200</v>
      </c>
      <c r="E13" s="17">
        <v>4500</v>
      </c>
      <c r="F13" s="42" t="s">
        <v>134</v>
      </c>
    </row>
    <row r="14" spans="1:6" x14ac:dyDescent="0.4">
      <c r="B14" s="42">
        <v>16</v>
      </c>
      <c r="C14" s="36" t="str">
        <f>VLOOKUP(B14, Reference!$B:$D, 3, TRUE)</f>
        <v>Watari</v>
      </c>
      <c r="D14" s="17">
        <v>4600</v>
      </c>
      <c r="E14" s="17">
        <v>10000</v>
      </c>
      <c r="F14" s="42"/>
    </row>
    <row r="15" spans="1:6" x14ac:dyDescent="0.4">
      <c r="B15" s="42"/>
      <c r="C15" s="36"/>
      <c r="D15" s="17">
        <v>3800</v>
      </c>
      <c r="E15" s="17">
        <v>6600</v>
      </c>
      <c r="F15" s="42"/>
    </row>
  </sheetData>
  <mergeCells count="17">
    <mergeCell ref="B11:B12"/>
    <mergeCell ref="B14:B15"/>
    <mergeCell ref="F6:F7"/>
    <mergeCell ref="F9:F10"/>
    <mergeCell ref="F11:F12"/>
    <mergeCell ref="F13:F15"/>
    <mergeCell ref="B9:B10"/>
    <mergeCell ref="C9:C10"/>
    <mergeCell ref="C11:C12"/>
    <mergeCell ref="C14:C15"/>
    <mergeCell ref="B4:B5"/>
    <mergeCell ref="D4:D5"/>
    <mergeCell ref="E4:E5"/>
    <mergeCell ref="F4:F5"/>
    <mergeCell ref="B6:B7"/>
    <mergeCell ref="C4:C5"/>
    <mergeCell ref="C6:C7"/>
  </mergeCells>
  <phoneticPr fontId="3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DABF-8A9F-4F21-B43C-A5155B0DC717}">
  <dimension ref="A1:F41"/>
  <sheetViews>
    <sheetView workbookViewId="0">
      <selection activeCell="C6" sqref="C6:C7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155.80000000000001</v>
      </c>
      <c r="E6" s="13">
        <v>666.4</v>
      </c>
      <c r="F6" s="43" t="s">
        <v>137</v>
      </c>
    </row>
    <row r="7" spans="1:6" x14ac:dyDescent="0.4">
      <c r="B7" s="42"/>
      <c r="C7" s="36"/>
      <c r="D7" s="13">
        <v>34</v>
      </c>
      <c r="E7" s="13">
        <v>145.5</v>
      </c>
      <c r="F7" s="36"/>
    </row>
    <row r="8" spans="1:6" x14ac:dyDescent="0.4">
      <c r="B8" s="2">
        <v>13</v>
      </c>
      <c r="C8" s="12" t="str">
        <f>VLOOKUP(B8, Reference!$B:$D, 3, TRUE)</f>
        <v>Valero</v>
      </c>
      <c r="D8" s="13">
        <v>175</v>
      </c>
      <c r="E8" s="13">
        <v>390</v>
      </c>
      <c r="F8" s="36"/>
    </row>
    <row r="9" spans="1:6" x14ac:dyDescent="0.4">
      <c r="B9" s="42">
        <v>14</v>
      </c>
      <c r="C9" s="36" t="str">
        <f>VLOOKUP(B9, Reference!$B:$D, 3, TRUE)</f>
        <v>Månberger</v>
      </c>
      <c r="D9" s="13">
        <v>390</v>
      </c>
      <c r="E9" s="13">
        <v>1500</v>
      </c>
      <c r="F9" s="36"/>
    </row>
    <row r="10" spans="1:6" x14ac:dyDescent="0.4">
      <c r="B10" s="42"/>
      <c r="C10" s="36"/>
      <c r="D10" s="13">
        <v>200</v>
      </c>
      <c r="E10" s="13">
        <v>300</v>
      </c>
      <c r="F10" s="36"/>
    </row>
    <row r="11" spans="1:6" x14ac:dyDescent="0.4">
      <c r="B11" s="42">
        <v>16</v>
      </c>
      <c r="C11" s="36" t="str">
        <f>VLOOKUP(B11, Reference!$B:$D, 3, TRUE)</f>
        <v>Watari</v>
      </c>
      <c r="D11" s="13">
        <v>290</v>
      </c>
      <c r="E11" s="13">
        <v>1230</v>
      </c>
      <c r="F11" s="36"/>
    </row>
    <row r="12" spans="1:6" x14ac:dyDescent="0.4">
      <c r="B12" s="42"/>
      <c r="C12" s="36"/>
      <c r="D12" s="13">
        <v>61</v>
      </c>
      <c r="E12" s="13">
        <v>260</v>
      </c>
      <c r="F12" s="36"/>
    </row>
    <row r="13" spans="1:6" x14ac:dyDescent="0.4">
      <c r="B13" s="42">
        <v>18</v>
      </c>
      <c r="C13" s="36" t="str">
        <f>VLOOKUP(B13, Reference!$B:$D, 3, TRUE)</f>
        <v>Deetman</v>
      </c>
      <c r="D13" s="13">
        <v>440</v>
      </c>
      <c r="E13" s="13">
        <v>800</v>
      </c>
      <c r="F13" s="36"/>
    </row>
    <row r="14" spans="1:6" x14ac:dyDescent="0.4">
      <c r="B14" s="42"/>
      <c r="C14" s="36"/>
      <c r="D14" s="13">
        <v>15</v>
      </c>
      <c r="E14" s="13">
        <v>52</v>
      </c>
      <c r="F14" s="36"/>
    </row>
    <row r="15" spans="1:6" x14ac:dyDescent="0.4">
      <c r="B15" s="42">
        <v>19</v>
      </c>
      <c r="C15" s="36" t="str">
        <f>VLOOKUP(B15, Reference!$B:$D, 3, TRUE)</f>
        <v>Ziemann</v>
      </c>
      <c r="D15" s="13">
        <v>600</v>
      </c>
      <c r="E15" s="13">
        <v>1430</v>
      </c>
      <c r="F15" s="36"/>
    </row>
    <row r="16" spans="1:6" x14ac:dyDescent="0.4">
      <c r="B16" s="42"/>
      <c r="C16" s="36"/>
      <c r="D16" s="13">
        <v>100</v>
      </c>
      <c r="E16" s="13">
        <v>370</v>
      </c>
      <c r="F16" s="36"/>
    </row>
    <row r="17" spans="2:6" x14ac:dyDescent="0.4">
      <c r="B17" s="42">
        <v>20</v>
      </c>
      <c r="C17" s="36" t="str">
        <f>VLOOKUP(B17, Reference!$B:$D, 3, TRUE)</f>
        <v>de Koning</v>
      </c>
      <c r="D17" s="13"/>
      <c r="E17" s="13">
        <v>414</v>
      </c>
      <c r="F17" s="36"/>
    </row>
    <row r="18" spans="2:6" x14ac:dyDescent="0.4">
      <c r="B18" s="42"/>
      <c r="C18" s="36"/>
      <c r="D18" s="13"/>
      <c r="E18" s="16">
        <v>0.4</v>
      </c>
      <c r="F18" s="36"/>
    </row>
    <row r="19" spans="2:6" x14ac:dyDescent="0.4">
      <c r="B19" s="42">
        <v>23</v>
      </c>
      <c r="C19" s="36" t="str">
        <f>VLOOKUP(B19, Reference!$B:$D, 3, TRUE)</f>
        <v>Harvey</v>
      </c>
      <c r="D19" s="13">
        <v>30</v>
      </c>
      <c r="E19" s="13">
        <v>290</v>
      </c>
      <c r="F19" s="36"/>
    </row>
    <row r="20" spans="2:6" x14ac:dyDescent="0.4">
      <c r="B20" s="42"/>
      <c r="C20" s="36"/>
      <c r="D20" s="13">
        <v>20</v>
      </c>
      <c r="E20" s="13">
        <v>190</v>
      </c>
      <c r="F20" s="36"/>
    </row>
    <row r="21" spans="2:6" x14ac:dyDescent="0.4">
      <c r="B21" s="42">
        <v>34</v>
      </c>
      <c r="C21" s="36" t="str">
        <f>VLOOKUP(B21, Reference!$B:$D, 3, TRUE)</f>
        <v>Pehlken</v>
      </c>
      <c r="D21" s="13">
        <v>500</v>
      </c>
      <c r="E21" s="13">
        <v>2000</v>
      </c>
      <c r="F21" s="36"/>
    </row>
    <row r="22" spans="2:6" x14ac:dyDescent="0.4">
      <c r="B22" s="42"/>
      <c r="C22" s="36"/>
      <c r="D22" s="13">
        <v>200</v>
      </c>
      <c r="E22" s="13">
        <v>370</v>
      </c>
      <c r="F22" s="36"/>
    </row>
    <row r="23" spans="2:6" x14ac:dyDescent="0.4">
      <c r="B23" s="42">
        <v>56</v>
      </c>
      <c r="C23" s="36" t="str">
        <f>VLOOKUP(B23, Reference!$B:$D, 3, TRUE)</f>
        <v>Speirs</v>
      </c>
      <c r="D23" s="13">
        <v>280</v>
      </c>
      <c r="E23" s="13">
        <v>1000</v>
      </c>
      <c r="F23" s="36"/>
    </row>
    <row r="24" spans="2:6" x14ac:dyDescent="0.4">
      <c r="B24" s="42"/>
      <c r="C24" s="36"/>
      <c r="D24" s="13">
        <v>50</v>
      </c>
      <c r="E24" s="13">
        <v>200</v>
      </c>
      <c r="F24" s="36"/>
    </row>
    <row r="25" spans="2:6" x14ac:dyDescent="0.4">
      <c r="B25" s="2">
        <v>64</v>
      </c>
      <c r="C25" s="12" t="str">
        <f>VLOOKUP(B25, Reference!$B:$D, 3, TRUE)</f>
        <v>Vikström</v>
      </c>
      <c r="D25" s="13">
        <v>75</v>
      </c>
      <c r="E25" s="13">
        <v>275</v>
      </c>
      <c r="F25" s="36"/>
    </row>
    <row r="26" spans="2:6" x14ac:dyDescent="0.4">
      <c r="B26" s="2">
        <v>70</v>
      </c>
      <c r="C26" s="12" t="str">
        <f>VLOOKUP(B26, Reference!$B:$D, 3, TRUE)</f>
        <v>Mohr</v>
      </c>
      <c r="D26" s="13"/>
      <c r="E26" s="13">
        <v>400</v>
      </c>
      <c r="F26" s="36"/>
    </row>
    <row r="27" spans="2:6" x14ac:dyDescent="0.4">
      <c r="B27" s="42">
        <v>5</v>
      </c>
      <c r="C27" s="36" t="str">
        <f>VLOOKUP(B27, Reference!$B:$D, 3, TRUE)</f>
        <v>Hache</v>
      </c>
      <c r="D27" s="17">
        <v>450</v>
      </c>
      <c r="E27" s="17">
        <v>1200</v>
      </c>
      <c r="F27" s="42" t="s">
        <v>134</v>
      </c>
    </row>
    <row r="28" spans="2:6" x14ac:dyDescent="0.4">
      <c r="B28" s="42"/>
      <c r="C28" s="36"/>
      <c r="D28" s="17">
        <v>170</v>
      </c>
      <c r="E28" s="17">
        <v>300</v>
      </c>
      <c r="F28" s="42"/>
    </row>
    <row r="29" spans="2:6" x14ac:dyDescent="0.4">
      <c r="B29" s="2">
        <v>13</v>
      </c>
      <c r="C29" s="12" t="str">
        <f>VLOOKUP(B29, Reference!$B:$D, 3, TRUE)</f>
        <v>Valero</v>
      </c>
      <c r="D29" s="17">
        <v>700</v>
      </c>
      <c r="E29" s="17">
        <v>950</v>
      </c>
      <c r="F29" s="42"/>
    </row>
    <row r="30" spans="2:6" x14ac:dyDescent="0.4">
      <c r="B30" s="42">
        <v>16</v>
      </c>
      <c r="C30" s="36" t="str">
        <f>VLOOKUP(B30, Reference!$B:$D, 3, TRUE)</f>
        <v>Watari</v>
      </c>
      <c r="D30" s="17">
        <v>350</v>
      </c>
      <c r="E30" s="17">
        <v>1330</v>
      </c>
      <c r="F30" s="42"/>
    </row>
    <row r="31" spans="2:6" x14ac:dyDescent="0.4">
      <c r="B31" s="42"/>
      <c r="C31" s="36"/>
      <c r="D31" s="17">
        <v>120</v>
      </c>
      <c r="E31" s="17">
        <v>370</v>
      </c>
      <c r="F31" s="42"/>
    </row>
    <row r="32" spans="2:6" x14ac:dyDescent="0.4">
      <c r="B32" s="42">
        <v>19</v>
      </c>
      <c r="C32" s="36" t="str">
        <f>VLOOKUP(B32, Reference!$B:$D, 3, TRUE)</f>
        <v>Ziemann</v>
      </c>
      <c r="D32" s="17">
        <v>700</v>
      </c>
      <c r="E32" s="17">
        <v>1630</v>
      </c>
      <c r="F32" s="42"/>
    </row>
    <row r="33" spans="2:6" x14ac:dyDescent="0.4">
      <c r="B33" s="42"/>
      <c r="C33" s="36"/>
      <c r="D33" s="17">
        <v>200</v>
      </c>
      <c r="E33" s="17">
        <v>570</v>
      </c>
      <c r="F33" s="42"/>
    </row>
    <row r="34" spans="2:6" x14ac:dyDescent="0.4">
      <c r="B34" s="42">
        <v>20</v>
      </c>
      <c r="C34" s="36" t="str">
        <f>VLOOKUP(B34, Reference!$B:$D, 3, TRUE)</f>
        <v>de Koning</v>
      </c>
      <c r="D34" s="17"/>
      <c r="E34" s="17">
        <v>1628</v>
      </c>
      <c r="F34" s="42"/>
    </row>
    <row r="35" spans="2:6" x14ac:dyDescent="0.4">
      <c r="B35" s="42"/>
      <c r="C35" s="36"/>
      <c r="D35" s="17"/>
      <c r="E35" s="17">
        <v>1230</v>
      </c>
      <c r="F35" s="42"/>
    </row>
    <row r="36" spans="2:6" x14ac:dyDescent="0.4">
      <c r="B36" s="42">
        <v>23</v>
      </c>
      <c r="C36" s="36" t="str">
        <f>VLOOKUP(B36, Reference!$B:$D, 3, TRUE)</f>
        <v>Harvey</v>
      </c>
      <c r="D36" s="17">
        <v>70</v>
      </c>
      <c r="E36" s="17">
        <v>330</v>
      </c>
      <c r="F36" s="42"/>
    </row>
    <row r="37" spans="2:6" x14ac:dyDescent="0.4">
      <c r="B37" s="42"/>
      <c r="C37" s="36"/>
      <c r="D37" s="17">
        <v>60</v>
      </c>
      <c r="E37" s="17">
        <v>230</v>
      </c>
      <c r="F37" s="42"/>
    </row>
    <row r="38" spans="2:6" x14ac:dyDescent="0.4">
      <c r="B38" s="2">
        <v>35</v>
      </c>
      <c r="C38" s="12" t="str">
        <f>VLOOKUP(B38, Reference!$B:$D, 3, TRUE)</f>
        <v>Ulrik Sverdrup</v>
      </c>
      <c r="D38" s="17">
        <v>150</v>
      </c>
      <c r="E38" s="17">
        <v>500</v>
      </c>
      <c r="F38" s="42"/>
    </row>
    <row r="39" spans="2:6" x14ac:dyDescent="0.4">
      <c r="B39" s="2">
        <v>64</v>
      </c>
      <c r="C39" s="12" t="str">
        <f>VLOOKUP(B39, Reference!$B:$D, 3, TRUE)</f>
        <v>Vikström</v>
      </c>
      <c r="D39" s="17">
        <v>100</v>
      </c>
      <c r="E39" s="17">
        <v>300</v>
      </c>
      <c r="F39" s="42"/>
    </row>
    <row r="40" spans="2:6" x14ac:dyDescent="0.4">
      <c r="B40" s="42">
        <v>71</v>
      </c>
      <c r="C40" s="36" t="str">
        <f>VLOOKUP(B40, Reference!$B:$D, 3, TRUE)</f>
        <v>Kushnir</v>
      </c>
      <c r="D40" s="17">
        <v>450</v>
      </c>
      <c r="E40" s="17">
        <v>1400</v>
      </c>
      <c r="F40" s="42"/>
    </row>
    <row r="41" spans="2:6" x14ac:dyDescent="0.4">
      <c r="B41" s="42"/>
      <c r="C41" s="36"/>
      <c r="D41" s="17">
        <v>100</v>
      </c>
      <c r="E41" s="17">
        <v>200</v>
      </c>
      <c r="F41" s="42"/>
    </row>
  </sheetData>
  <mergeCells count="37">
    <mergeCell ref="B40:B41"/>
    <mergeCell ref="F6:F26"/>
    <mergeCell ref="F27:F41"/>
    <mergeCell ref="B23:B24"/>
    <mergeCell ref="B27:B28"/>
    <mergeCell ref="B30:B31"/>
    <mergeCell ref="B32:B33"/>
    <mergeCell ref="B34:B35"/>
    <mergeCell ref="B36:B37"/>
    <mergeCell ref="B11:B12"/>
    <mergeCell ref="B13:B14"/>
    <mergeCell ref="B15:B16"/>
    <mergeCell ref="B17:B18"/>
    <mergeCell ref="B19:B20"/>
    <mergeCell ref="B21:B22"/>
    <mergeCell ref="B9:B10"/>
    <mergeCell ref="B4:B5"/>
    <mergeCell ref="D4:D5"/>
    <mergeCell ref="E4:E5"/>
    <mergeCell ref="F4:F5"/>
    <mergeCell ref="B6:B7"/>
    <mergeCell ref="C4:C5"/>
    <mergeCell ref="C6:C7"/>
    <mergeCell ref="C9:C10"/>
    <mergeCell ref="C11:C12"/>
    <mergeCell ref="C13:C14"/>
    <mergeCell ref="C15:C16"/>
    <mergeCell ref="C17:C18"/>
    <mergeCell ref="C32:C33"/>
    <mergeCell ref="C34:C35"/>
    <mergeCell ref="C36:C37"/>
    <mergeCell ref="C40:C41"/>
    <mergeCell ref="C19:C20"/>
    <mergeCell ref="C21:C22"/>
    <mergeCell ref="C23:C24"/>
    <mergeCell ref="C27:C28"/>
    <mergeCell ref="C30:C31"/>
  </mergeCells>
  <phoneticPr fontId="3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2741-1AAC-47EF-9D41-E2BD6A47D3BC}">
  <dimension ref="A1:F10"/>
  <sheetViews>
    <sheetView workbookViewId="0">
      <selection activeCell="F43" sqref="F43"/>
    </sheetView>
  </sheetViews>
  <sheetFormatPr defaultRowHeight="12.75" x14ac:dyDescent="0.4"/>
  <cols>
    <col min="1" max="1" width="9" style="1"/>
    <col min="2" max="2" width="9" style="2"/>
    <col min="3" max="3" width="14.75" style="11" customWidth="1"/>
    <col min="4" max="5" width="9" style="1"/>
    <col min="6" max="6" width="25.75" style="1" customWidth="1"/>
    <col min="7" max="16384" width="9" style="1"/>
  </cols>
  <sheetData>
    <row r="1" spans="1:6" x14ac:dyDescent="0.4">
      <c r="A1" s="1" t="s">
        <v>131</v>
      </c>
      <c r="D1" s="14"/>
      <c r="E1" s="1" t="s">
        <v>132</v>
      </c>
    </row>
    <row r="2" spans="1:6" x14ac:dyDescent="0.4">
      <c r="D2" s="15"/>
      <c r="E2" s="1" t="s">
        <v>133</v>
      </c>
    </row>
    <row r="4" spans="1:6" ht="15" customHeight="1" x14ac:dyDescent="0.4">
      <c r="B4" s="34" t="s">
        <v>117</v>
      </c>
      <c r="C4" s="34" t="s">
        <v>313</v>
      </c>
      <c r="D4" s="40">
        <v>2030</v>
      </c>
      <c r="E4" s="40">
        <v>2050</v>
      </c>
      <c r="F4" s="41" t="s">
        <v>130</v>
      </c>
    </row>
    <row r="5" spans="1:6" x14ac:dyDescent="0.4">
      <c r="B5" s="35"/>
      <c r="C5" s="35"/>
      <c r="D5" s="40"/>
      <c r="E5" s="40"/>
      <c r="F5" s="41"/>
    </row>
    <row r="6" spans="1:6" x14ac:dyDescent="0.4">
      <c r="B6" s="43">
        <v>3</v>
      </c>
      <c r="C6" s="36" t="str">
        <f>VLOOKUP(B6, Reference!$B:$D, 3, TRUE)</f>
        <v>Watari</v>
      </c>
      <c r="D6" s="13">
        <v>699</v>
      </c>
      <c r="E6" s="13">
        <v>1832</v>
      </c>
      <c r="F6" s="43" t="s">
        <v>129</v>
      </c>
    </row>
    <row r="7" spans="1:6" x14ac:dyDescent="0.4">
      <c r="B7" s="42"/>
      <c r="C7" s="36"/>
      <c r="D7" s="13">
        <v>458</v>
      </c>
      <c r="E7" s="13">
        <v>823</v>
      </c>
      <c r="F7" s="42"/>
    </row>
    <row r="8" spans="1:6" x14ac:dyDescent="0.4">
      <c r="B8" s="42">
        <v>77</v>
      </c>
      <c r="C8" s="36" t="str">
        <f>VLOOKUP(B8, Reference!$B:$D, 3, TRUE)</f>
        <v>Zuser</v>
      </c>
      <c r="D8" s="13">
        <v>1351</v>
      </c>
      <c r="E8" s="13"/>
      <c r="F8" s="42"/>
    </row>
    <row r="9" spans="1:6" x14ac:dyDescent="0.4">
      <c r="B9" s="42"/>
      <c r="C9" s="36"/>
      <c r="D9" s="13">
        <v>446</v>
      </c>
      <c r="E9" s="13"/>
      <c r="F9" s="42"/>
    </row>
    <row r="10" spans="1:6" x14ac:dyDescent="0.4">
      <c r="B10" s="2">
        <v>46</v>
      </c>
      <c r="C10" s="12" t="str">
        <f>VLOOKUP(B10, Reference!$B:$D, 3, TRUE)</f>
        <v>Kavlak</v>
      </c>
      <c r="D10" s="17">
        <v>12200</v>
      </c>
      <c r="E10" s="17"/>
      <c r="F10" s="2" t="s">
        <v>134</v>
      </c>
    </row>
  </sheetData>
  <mergeCells count="10">
    <mergeCell ref="B8:B9"/>
    <mergeCell ref="F6:F9"/>
    <mergeCell ref="C4:C5"/>
    <mergeCell ref="C6:C7"/>
    <mergeCell ref="C8:C9"/>
    <mergeCell ref="B4:B5"/>
    <mergeCell ref="D4:D5"/>
    <mergeCell ref="E4:E5"/>
    <mergeCell ref="F4:F5"/>
    <mergeCell ref="B6:B7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Reference</vt:lpstr>
      <vt:lpstr>Overview</vt:lpstr>
      <vt:lpstr>Life cycle&amp;efficiency strategy</vt:lpstr>
      <vt:lpstr>Predicted demand summary</vt:lpstr>
      <vt:lpstr>In</vt:lpstr>
      <vt:lpstr>Ag</vt:lpstr>
      <vt:lpstr>Pt</vt:lpstr>
      <vt:lpstr>Se</vt:lpstr>
      <vt:lpstr>Pb</vt:lpstr>
      <vt:lpstr>Cd</vt:lpstr>
      <vt:lpstr>Cr</vt:lpstr>
      <vt:lpstr>Te</vt:lpstr>
      <vt:lpstr>Sn</vt:lpstr>
      <vt:lpstr>Zn</vt:lpstr>
      <vt:lpstr>Mo</vt:lpstr>
      <vt:lpstr>Dy</vt:lpstr>
      <vt:lpstr>Mn</vt:lpstr>
      <vt:lpstr>Nd</vt:lpstr>
      <vt:lpstr>Co</vt:lpstr>
      <vt:lpstr>Ge</vt:lpstr>
      <vt:lpstr>Ga</vt:lpstr>
      <vt:lpstr>Cu</vt:lpstr>
      <vt:lpstr>Ta</vt:lpstr>
      <vt:lpstr>Ni</vt:lpstr>
      <vt:lpstr>Li</vt:lpstr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2019-07-16T02:36:57Z</dcterms:created>
  <dcterms:modified xsi:type="dcterms:W3CDTF">2019-09-12T08:20:48Z</dcterms:modified>
</cp:coreProperties>
</file>